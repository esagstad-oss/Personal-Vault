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Daily Plan (Feb 2–Apr 19)" sheetId="1" state="visible" r:id="rId1"/>
    <sheet xmlns:r="http://schemas.openxmlformats.org/officeDocument/2006/relationships" name="Food Options &amp; Timing" sheetId="2" state="visible" r:id="rId2"/>
    <sheet xmlns:r="http://schemas.openxmlformats.org/officeDocument/2006/relationships" name="Fueling Strategy" sheetId="3" state="visible" r:id="rId3"/>
    <sheet xmlns:r="http://schemas.openxmlformats.org/officeDocument/2006/relationships" name="Supplement Protocol (Phase)" sheetId="4" state="visible" r:id="rId4"/>
    <sheet xmlns:r="http://schemas.openxmlformats.org/officeDocument/2006/relationships" name="Meal Timing &amp; Sleep" sheetId="5" state="visible" r:id="rId5"/>
    <sheet xmlns:r="http://schemas.openxmlformats.org/officeDocument/2006/relationships" name="Weekly Summary" sheetId="6" state="visible" r:id="rId6"/>
  </sheets>
  <definedNames>
    <definedName name="_xlnm._FilterDatabase" localSheetId="0" hidden="1">'Daily Plan (Feb 2–Apr 19)'!$A$1:$U$1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Weekly Training Time Distribution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'Weekly Summary'!B1</f>
              <strCache>
                <ptCount val="1"/>
                <pt idx="0">
                  <v>Bike minutes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numRef>
              <f>'Weekly Summary'!$A$2:$A$12</f>
              <numCache>
                <formatCode>General</formatCode>
                <ptCount val="11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</numCache>
            </numRef>
          </cat>
          <val>
            <numRef>
              <f>'Weekly Summary'!$B$2:$B$12</f>
              <numCache>
                <formatCode>General</formatCode>
                <ptCount val="11"/>
                <pt idx="0">
                  <v>334</v>
                </pt>
                <pt idx="1">
                  <v>373</v>
                </pt>
                <pt idx="2">
                  <v>400</v>
                </pt>
                <pt idx="3">
                  <v>295</v>
                </pt>
                <pt idx="4">
                  <v>397</v>
                </pt>
                <pt idx="5">
                  <v>436</v>
                </pt>
                <pt idx="6">
                  <v>473</v>
                </pt>
                <pt idx="7">
                  <v>325</v>
                </pt>
                <pt idx="8">
                  <v>439</v>
                </pt>
                <pt idx="9">
                  <v>330</v>
                </pt>
                <pt idx="10">
                  <v>55</v>
                </pt>
              </numCache>
            </numRef>
          </val>
        </ser>
        <ser>
          <idx val="1"/>
          <order val="1"/>
          <tx>
            <strRef>
              <f>'Weekly Summary'!C1</f>
              <strCache>
                <ptCount val="1"/>
                <pt idx="0">
                  <v>Run minutes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numRef>
              <f>'Weekly Summary'!$A$2:$A$12</f>
              <numCache>
                <formatCode>General</formatCode>
                <ptCount val="11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</numCache>
            </numRef>
          </cat>
          <val>
            <numRef>
              <f>'Weekly Summary'!$C$2:$C$12</f>
              <numCache>
                <formatCode>General</formatCode>
                <ptCount val="11"/>
                <pt idx="0">
                  <v>120</v>
                </pt>
                <pt idx="1">
                  <v>125</v>
                </pt>
                <pt idx="2">
                  <v>135</v>
                </pt>
                <pt idx="3">
                  <v>97</v>
                </pt>
                <pt idx="4">
                  <v>140</v>
                </pt>
                <pt idx="5">
                  <v>145</v>
                </pt>
                <pt idx="6">
                  <v>150</v>
                </pt>
                <pt idx="7">
                  <v>97</v>
                </pt>
                <pt idx="8">
                  <v>145</v>
                </pt>
                <pt idx="9">
                  <v>120</v>
                </pt>
                <pt idx="10">
                  <v>69</v>
                </pt>
              </numCache>
            </numRef>
          </val>
        </ser>
        <ser>
          <idx val="2"/>
          <order val="2"/>
          <tx>
            <strRef>
              <f>'Weekly Summary'!D1</f>
              <strCache>
                <ptCount val="1"/>
                <pt idx="0">
                  <v>Strength minutes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numRef>
              <f>'Weekly Summary'!$A$2:$A$12</f>
              <numCache>
                <formatCode>General</formatCode>
                <ptCount val="11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</numCache>
            </numRef>
          </cat>
          <val>
            <numRef>
              <f>'Weekly Summary'!$D$2:$D$12</f>
              <numCache>
                <formatCode>General</formatCode>
                <ptCount val="11"/>
                <pt idx="0">
                  <v>200</v>
                </pt>
                <pt idx="1">
                  <v>200</v>
                </pt>
                <pt idx="2">
                  <v>200</v>
                </pt>
                <pt idx="3">
                  <v>150</v>
                </pt>
                <pt idx="4">
                  <v>200</v>
                </pt>
                <pt idx="5">
                  <v>200</v>
                </pt>
                <pt idx="6">
                  <v>200</v>
                </pt>
                <pt idx="7">
                  <v>150</v>
                </pt>
                <pt idx="8">
                  <v>200</v>
                </pt>
                <pt idx="9">
                  <v>185</v>
                </pt>
                <pt idx="10">
                  <v>185</v>
                </pt>
              </numCache>
            </numRef>
          </val>
        </ser>
        <ser>
          <idx val="3"/>
          <order val="3"/>
          <tx>
            <strRef>
              <f>'Weekly Summary'!E1</f>
              <strCache>
                <ptCount val="1"/>
                <pt idx="0">
                  <v>Total minutes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numRef>
              <f>'Weekly Summary'!$A$2:$A$12</f>
              <numCache>
                <formatCode>General</formatCode>
                <ptCount val="11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</numCache>
            </numRef>
          </cat>
          <val>
            <numRef>
              <f>'Weekly Summary'!$E$2:$E$12</f>
              <numCache>
                <formatCode>General</formatCode>
                <ptCount val="11"/>
                <pt idx="0">
                  <v>654</v>
                </pt>
                <pt idx="1">
                  <v>698</v>
                </pt>
                <pt idx="2">
                  <v>735</v>
                </pt>
                <pt idx="3">
                  <v>542</v>
                </pt>
                <pt idx="4">
                  <v>737</v>
                </pt>
                <pt idx="5">
                  <v>781</v>
                </pt>
                <pt idx="6">
                  <v>823</v>
                </pt>
                <pt idx="7">
                  <v>572</v>
                </pt>
                <pt idx="8">
                  <v>784</v>
                </pt>
                <pt idx="9">
                  <v>635</v>
                </pt>
                <pt idx="10">
                  <v>309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Week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Minutes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8"/>
  <sheetViews>
    <sheetView tabSelected="1" workbookViewId="0">
      <pane ySplit="1" topLeftCell="A2" activePane="bottomLeft" state="frozen"/>
      <selection pane="bottomLeft" activeCell="E23" sqref="E23"/>
    </sheetView>
  </sheetViews>
  <sheetFormatPr baseColWidth="8" defaultRowHeight="15"/>
  <cols>
    <col width="12" customWidth="1" min="1" max="1"/>
    <col width="6" customWidth="1" min="2" max="2"/>
    <col width="10" customWidth="1" min="3" max="4"/>
    <col width="113" customWidth="1" min="5" max="5"/>
    <col width="30" customWidth="1" min="6" max="6"/>
    <col width="62" customWidth="1" min="7" max="7"/>
    <col width="48" customWidth="1" min="8" max="8"/>
    <col width="46" customWidth="1" min="9" max="9"/>
    <col width="18" customWidth="1" min="10" max="11"/>
    <col width="22" customWidth="1" min="12" max="16"/>
    <col width="56" customWidth="1" min="17" max="17"/>
    <col width="50" customWidth="1" min="18" max="18"/>
    <col width="22" customWidth="1" min="19" max="20"/>
    <col width="42" customWidth="1" min="21" max="21"/>
    <col width="14" customWidth="1" min="22" max="22"/>
    <col width="13" customWidth="1" min="23" max="23"/>
    <col width="16" customWidth="1" min="24" max="24"/>
    <col width="20" customWidth="1" min="25" max="25"/>
    <col width="18" customWidth="1" min="26" max="26"/>
    <col width="17" customWidth="1" min="27" max="27"/>
    <col width="20" customWidth="1" min="28" max="29"/>
  </cols>
  <sheetData>
    <row r="1">
      <c r="A1" s="1" t="inlineStr">
        <is>
          <t>Date</t>
        </is>
      </c>
      <c r="B1" s="1" t="inlineStr">
        <is>
          <t>Week</t>
        </is>
      </c>
      <c r="C1" s="1" t="inlineStr">
        <is>
          <t>Phase</t>
        </is>
      </c>
      <c r="D1" s="1" t="inlineStr">
        <is>
          <t>Day</t>
        </is>
      </c>
      <c r="E1" s="1" t="inlineStr">
        <is>
          <t>Bike (targets &amp; structure)</t>
        </is>
      </c>
      <c r="F1" s="1" t="inlineStr">
        <is>
          <t>Run (HR targets)</t>
        </is>
      </c>
      <c r="G1" s="1" t="inlineStr">
        <is>
          <t>Strength (exercises/sets/reps)</t>
        </is>
      </c>
      <c r="H1" s="1" t="inlineStr">
        <is>
          <t>During-session fueling (g carbs + notes)</t>
        </is>
      </c>
      <c r="I1" s="1" t="inlineStr">
        <is>
          <t>Nutrition targets (kcal/P/C/F)</t>
        </is>
      </c>
      <c r="J1" s="1" t="inlineStr">
        <is>
          <t>Pre-AM (P/C/F)</t>
        </is>
      </c>
      <c r="K1" s="1" t="inlineStr">
        <is>
          <t>During Fuel (P/C/F)</t>
        </is>
      </c>
      <c r="L1" s="1" t="inlineStr">
        <is>
          <t>Breakfast (P/C/F)</t>
        </is>
      </c>
      <c r="M1" s="1" t="inlineStr">
        <is>
          <t>Lunch (P/C/F)</t>
        </is>
      </c>
      <c r="N1" s="1" t="inlineStr">
        <is>
          <t>Snack (P/C/F)</t>
        </is>
      </c>
      <c r="O1" s="1" t="inlineStr">
        <is>
          <t>Dinner (P/C/F)</t>
        </is>
      </c>
      <c r="P1" s="1" t="inlineStr">
        <is>
          <t>Last meal (P/C/F)</t>
        </is>
      </c>
      <c r="Q1" s="1" t="inlineStr">
        <is>
          <t>Supplements (periodized)</t>
        </is>
      </c>
      <c r="R1" s="1" t="inlineStr">
        <is>
          <t>Recovery tools (Flexbeam/rolling/etc.)</t>
        </is>
      </c>
      <c r="S1" s="1" t="inlineStr">
        <is>
          <t>If tired…</t>
        </is>
      </c>
      <c r="T1" s="1" t="inlineStr">
        <is>
          <t>If strong…</t>
        </is>
      </c>
      <c r="U1" s="1" t="inlineStr">
        <is>
          <t>Winter alternatives / notes</t>
        </is>
      </c>
      <c r="V1" s="1" t="inlineStr">
        <is>
          <t>Bike time (min)</t>
        </is>
      </c>
      <c r="W1" s="1" t="inlineStr">
        <is>
          <t>Run time (min)</t>
        </is>
      </c>
      <c r="X1" s="1" t="inlineStr">
        <is>
          <t>Strength time (min)</t>
        </is>
      </c>
      <c r="Y1" s="1" t="inlineStr">
        <is>
          <t>Total training time (min)</t>
        </is>
      </c>
      <c r="Z1" s="1" t="inlineStr">
        <is>
          <t>Est. kcal burn (Bike)</t>
        </is>
      </c>
      <c r="AA1" s="1" t="inlineStr">
        <is>
          <t>Est. kcal burn (Run)</t>
        </is>
      </c>
      <c r="AB1" s="1" t="inlineStr">
        <is>
          <t>Est. kcal burn (Strength)</t>
        </is>
      </c>
      <c r="AC1" s="1" t="inlineStr">
        <is>
          <t>Est. kcal burn (Total)</t>
        </is>
      </c>
    </row>
    <row r="2">
      <c r="A2" s="2" t="inlineStr">
        <is>
          <t>2026-02-02</t>
        </is>
      </c>
      <c r="B2" s="2" t="n">
        <v>1</v>
      </c>
      <c r="C2" s="2" t="inlineStr">
        <is>
          <t>BUILD</t>
        </is>
      </c>
      <c r="D2" s="2" t="inlineStr">
        <is>
          <t>Monday</t>
        </is>
      </c>
      <c r="E2" s="2" t="inlineStr">
        <is>
          <t>Warm-up:
• 10 min @ 65–70% FTP
• 3×1 min @ 105% FTP (1 min @ 60% FTP between)
Main set:
• 3×1 min @ 331W (~105–105% FTP)
  – Recovery: 5 min @ 60% FTP
• 3×12 min @ 299–309W (~95–98% FTP)
  – Recovery: 5 min @ 60% FTP
Cooldown:
• 10 min @ 60–65% FTP + 46min Z2 (run replacement)</t>
        </is>
      </c>
      <c r="F2" s="2" t="inlineStr">
        <is>
          <t>Replaced with Z2 bike</t>
        </is>
      </c>
      <c r="G2" s="2" t="inlineStr">
        <is>
          <t>Upper body + core (optional 45–60 min):
A: Bench or OHP 4×6 @ RPE 7
B: Pull-ups or pulldown 4×6–10
C: DB row 3×10
D: Lateral raise 3×12–15
E: Triceps + biceps 2–3×10–15
F: Core: Pallof press 3×10/side + plank 2×45–60s
Keep this away from failure.
Added (moderate load, post-bike):
• Bulgarian Split Squat or Step-Up
  3×6–8 / leg @ RIR 2–3
  Controlled eccentric, no grind</t>
        </is>
      </c>
      <c r="H2" s="2" t="inlineStr">
        <is>
          <t>Bike: 60–80 g/h (mix glucose+fructose). 500–750 ml/h + sodium 500–800 mg/h.</t>
        </is>
      </c>
      <c r="I2" s="2" t="inlineStr">
        <is>
          <t>3300 kcal | 165P 502C 70F  (meals sum: 3298 kcal | 165P 502C 70F)</t>
        </is>
      </c>
      <c r="J2" s="2" t="inlineStr">
        <is>
          <t>0P 30C 0F</t>
        </is>
      </c>
      <c r="K2" s="2" t="inlineStr">
        <is>
          <t>0P 70C 0F</t>
        </is>
      </c>
      <c r="L2" s="2" t="inlineStr">
        <is>
          <t>45P 109C 15F</t>
        </is>
      </c>
      <c r="M2" s="2" t="inlineStr">
        <is>
          <t>40P 125C 20F</t>
        </is>
      </c>
      <c r="N2" s="2" t="inlineStr">
        <is>
          <t>25P 60C 10F</t>
        </is>
      </c>
      <c r="O2" s="2" t="inlineStr">
        <is>
          <t>35P 98C 20F</t>
        </is>
      </c>
      <c r="P2" s="2" t="inlineStr">
        <is>
          <t>20P 10C 5F</t>
        </is>
      </c>
      <c r="Q2" s="2" t="inlineStr">
        <is>
          <t>• Daily base: Creatine 5g AM; Omega-3 (2g EPA/DHA) with meal; Vitamin D3 2000 IU (winter) unless already; Magnesium glycinate 300–400mg PM; Glycine 3g + Taurine 1–2g + Inositol 2g + L-theanine 200mg PM.
• Beta-alanine: 3.2g/day split 1.6g AM + 1.6g PM (8–10 wk load).
• Optional: Caffeine 100–200mg 30–45' pre (only if sleep stable; pair with 100mg theanine).
• Optional: Tongkat Ali 200–400mg AM (cycle 5 days on / weekend off).</t>
        </is>
      </c>
      <c r="R2" s="2" t="inlineStr">
        <is>
          <t>Post: 5–8 min easy spin-down + 5 min nasal breathing. Evening: Flexbeam 10–15 min + gentle hamstring nerve glide (NOT aggressive stretching).</t>
        </is>
      </c>
      <c r="S2" s="2" t="inlineStr">
        <is>
          <t>Do 2×12 min.</t>
        </is>
      </c>
      <c r="T2" s="2" t="inlineStr">
        <is>
          <t>Make last rep 13–14 min.</t>
        </is>
      </c>
      <c r="U2" s="2" t="n"/>
      <c r="V2" s="2" t="n">
        <v>120</v>
      </c>
      <c r="W2" s="2" t="n">
        <v>0</v>
      </c>
      <c r="X2" s="2" t="n">
        <v>0</v>
      </c>
      <c r="Y2" s="2" t="n">
        <v>109</v>
      </c>
      <c r="Z2" s="2" t="n">
        <v>1212</v>
      </c>
      <c r="AA2" s="2" t="n">
        <v>546</v>
      </c>
      <c r="AB2" s="2" t="n">
        <v>0</v>
      </c>
      <c r="AC2" s="2" t="n">
        <v>1758</v>
      </c>
    </row>
    <row r="3">
      <c r="A3" s="2" t="inlineStr">
        <is>
          <t>2026-02-03</t>
        </is>
      </c>
      <c r="B3" s="2" t="n">
        <v>1</v>
      </c>
      <c r="C3" s="2" t="inlineStr">
        <is>
          <t>BUILD</t>
        </is>
      </c>
      <c r="D3" s="2" t="inlineStr">
        <is>
          <t>Tuesday</t>
        </is>
      </c>
      <c r="E3" s="2" t="inlineStr">
        <is>
          <t>OFF or 45–60 min Z2 @ 205–235W (65–75% FTP) (65–75% FTP).</t>
        </is>
      </c>
      <c r="F3" s="2" t="inlineStr">
        <is>
          <t>Easy 35 min (≤75% HRmax).</t>
        </is>
      </c>
      <c r="G3" s="2" t="n"/>
      <c r="H3" s="2" t="n"/>
      <c r="I3" s="2" t="inlineStr">
        <is>
          <t>2800 kcal | 160P 360C 80F  (meals sum: 2800 kcal | 160P 360C 80F)</t>
        </is>
      </c>
      <c r="J3" s="2" t="inlineStr">
        <is>
          <t>0P 25C 0F</t>
        </is>
      </c>
      <c r="K3" s="2" t="inlineStr">
        <is>
          <t>0P 0C 0F</t>
        </is>
      </c>
      <c r="L3" s="2" t="inlineStr">
        <is>
          <t>42P 108C 15F</t>
        </is>
      </c>
      <c r="M3" s="2" t="inlineStr">
        <is>
          <t>40P 94C 26F</t>
        </is>
      </c>
      <c r="N3" s="2" t="inlineStr">
        <is>
          <t>25P 45C 10F</t>
        </is>
      </c>
      <c r="O3" s="2" t="inlineStr">
        <is>
          <t>33P 73C 24F</t>
        </is>
      </c>
      <c r="P3" s="2" t="inlineStr">
        <is>
          <t>20P 15C 5F</t>
        </is>
      </c>
      <c r="Q3" s="2" t="inlineStr">
        <is>
          <t>• Daily base: Creatine 5g AM; Omega-3 (2g EPA/DHA) with meal; Vitamin D3 2000 IU (winter) unless already; Magnesium glycinate 300–400mg PM; Glycine 3g + Taurine 1–2g + Inositol 2g + L-theanine 200mg PM.
• Beta-alanine: 3.2g/day split 1.6g AM + 1.6g PM (8–10 wk load).
• Optional: Caffeine 100–200mg 30–45' pre (only if sleep stable; pair with 100mg theanine).
• Optional: Tongkat Ali 200–400mg AM (cycle 5 days on / weekend off).</t>
        </is>
      </c>
      <c r="R3" s="2" t="inlineStr">
        <is>
          <t>Foam roll calves/quads 8–10 min + hip mobility 8 min. Flexbeam optional 10 min if hamstring feels tight.</t>
        </is>
      </c>
      <c r="S3" s="2" t="inlineStr">
        <is>
          <t>OFF.</t>
        </is>
      </c>
      <c r="T3" s="2" t="inlineStr">
        <is>
          <t>Add 10 min easy if time.</t>
        </is>
      </c>
      <c r="U3" s="2" t="n"/>
      <c r="V3" s="2" t="n">
        <v>0</v>
      </c>
      <c r="W3" s="2" t="n">
        <v>0</v>
      </c>
      <c r="X3" s="2" t="n">
        <v>50</v>
      </c>
      <c r="Y3" s="2" t="n">
        <v>50</v>
      </c>
      <c r="Z3" s="2" t="n">
        <v>0</v>
      </c>
      <c r="AA3" s="2" t="n">
        <v>0</v>
      </c>
      <c r="AB3" s="2" t="n">
        <v>375</v>
      </c>
      <c r="AC3" s="2" t="n">
        <v>375</v>
      </c>
    </row>
    <row r="4">
      <c r="A4" s="2" t="inlineStr">
        <is>
          <t>2026-02-04</t>
        </is>
      </c>
      <c r="B4" s="2" t="n">
        <v>1</v>
      </c>
      <c r="C4" s="2" t="inlineStr">
        <is>
          <t>BUILD</t>
        </is>
      </c>
      <c r="D4" s="2" t="inlineStr">
        <is>
          <t>Wednesday</t>
        </is>
      </c>
      <c r="E4" s="2" t="inlineStr">
        <is>
          <t>66min Z2 (run replacement)</t>
        </is>
      </c>
      <c r="F4" s="2" t="inlineStr">
        <is>
          <t>Replaced with Z2 bike</t>
        </is>
      </c>
      <c r="G4" s="2" t="inlineStr">
        <is>
          <t>Full-body (Heavy bias):
A: Trap bar DL 4×5 @ RPE 7–8 (RIR 2)
Progress: +2.5–5 kg next week if all sets ≤RPE8
B: Bench press 4×5 @ RPE 7–8
C: Split squat 3×6–8/leg @ RPE 8
D: Chest-supported row 4×6–8 @ RPE 7–8
E: Hamstring ecc (Nordic OR slider) 3×6–10 (slow 3–4s down)
F: Calf raise 3×10–12
G: Anti-rotation core 3×8–10/side
Rest: 2–3 min big lifts; 60–90" accessories.</t>
        </is>
      </c>
      <c r="H4" s="2" t="n"/>
      <c r="I4" s="2" t="inlineStr">
        <is>
          <t>3000 kcal | 170P 400C 80F  (meals sum: 3000 kcal | 170P 400C 80F)</t>
        </is>
      </c>
      <c r="J4" s="2" t="inlineStr">
        <is>
          <t>0P 25C 0F</t>
        </is>
      </c>
      <c r="K4" s="2" t="inlineStr">
        <is>
          <t>0P 0C 0F</t>
        </is>
      </c>
      <c r="L4" s="2" t="inlineStr">
        <is>
          <t>48P 126C 15F</t>
        </is>
      </c>
      <c r="M4" s="2" t="inlineStr">
        <is>
          <t>40P 108C 26F</t>
        </is>
      </c>
      <c r="N4" s="2" t="inlineStr">
        <is>
          <t>25P 45C 10F</t>
        </is>
      </c>
      <c r="O4" s="2" t="inlineStr">
        <is>
          <t>37P 81C 24F</t>
        </is>
      </c>
      <c r="P4" s="2" t="inlineStr">
        <is>
          <t>20P 15C 5F</t>
        </is>
      </c>
      <c r="Q4" s="2" t="inlineStr">
        <is>
          <t>• Daily base: Creatine 5g AM; Omega-3 (2g EPA/DHA) with meal; Vitamin D3 2000 IU (winter) unless already; Magnesium glycinate 300–400mg PM; Glycine 3g + Taurine 1–2g + Inositol 2g + L-theanine 200mg PM.
• Beta-alanine: 3.2g/day split 1.6g AM + 1.6g PM (8–10 wk load).
• Optional: Caffeine 100–200mg 30–45' pre (only if sleep stable; pair with 100mg theanine).
• Optional: Tongkat Ali 200–400mg AM (cycle 5 days on / weekend off).</t>
        </is>
      </c>
      <c r="R4" s="2" t="inlineStr">
        <is>
          <t>After strength: massage gun glute/hamstring 6–8 min + light hip flexor stretch. Flexbeam 10 min if sore.</t>
        </is>
      </c>
      <c r="S4" s="2" t="n"/>
      <c r="T4" s="2" t="n"/>
      <c r="U4" s="2" t="n"/>
      <c r="V4" s="2" t="n">
        <v>66</v>
      </c>
      <c r="W4" s="2" t="n">
        <v>0</v>
      </c>
      <c r="X4" s="2" t="n">
        <v>75</v>
      </c>
      <c r="Y4" s="2" t="n">
        <v>125</v>
      </c>
      <c r="Z4" s="2" t="n">
        <v>0</v>
      </c>
      <c r="AA4" s="2" t="n">
        <v>780</v>
      </c>
      <c r="AB4" s="2" t="n">
        <v>563</v>
      </c>
      <c r="AC4" s="2" t="n">
        <v>1343</v>
      </c>
    </row>
    <row r="5">
      <c r="A5" s="2" t="inlineStr">
        <is>
          <t>2026-02-05</t>
        </is>
      </c>
      <c r="B5" s="2" t="n">
        <v>1</v>
      </c>
      <c r="C5" s="2" t="inlineStr">
        <is>
          <t>BUILD</t>
        </is>
      </c>
      <c r="D5" s="2" t="inlineStr">
        <is>
          <t>Thursday</t>
        </is>
      </c>
      <c r="E5" s="2" t="inlineStr">
        <is>
          <t>Warm-up:
• 10 min @ 65–70% FTP
• 3×1 min @ 105% FTP (1 min @ 60% FTP between)
Main set:
• 3×15 min @ 277–284W (~88–90% FTP)
  – Recovery: 5 min @ 60% FTP
Cooldown:
• 10 min @ 60–65% FTP</t>
        </is>
      </c>
      <c r="F5" s="2" t="n"/>
      <c r="G5" s="2" t="n"/>
      <c r="H5" s="2" t="inlineStr">
        <is>
          <t>Bike: 60–70 g/h. 500–750 ml/h.</t>
        </is>
      </c>
      <c r="I5" s="2" t="inlineStr">
        <is>
          <t>3100 kcal | 160P 458C 70F  (meals sum: 3102 kcal | 160P 458C 70F)</t>
        </is>
      </c>
      <c r="J5" s="2" t="inlineStr">
        <is>
          <t>0P 30C 0F</t>
        </is>
      </c>
      <c r="K5" s="2" t="inlineStr">
        <is>
          <t>0P 60C 0F</t>
        </is>
      </c>
      <c r="L5" s="2" t="inlineStr">
        <is>
          <t>42P 94C 15F</t>
        </is>
      </c>
      <c r="M5" s="2" t="inlineStr">
        <is>
          <t>40P 112C 20F</t>
        </is>
      </c>
      <c r="N5" s="2" t="inlineStr">
        <is>
          <t>25P 60C 10F</t>
        </is>
      </c>
      <c r="O5" s="2" t="inlineStr">
        <is>
          <t>33P 92C 20F</t>
        </is>
      </c>
      <c r="P5" s="2" t="inlineStr">
        <is>
          <t>20P 10C 5F</t>
        </is>
      </c>
      <c r="Q5" s="2" t="inlineStr">
        <is>
          <t>• Daily base: Creatine 5g AM; Omega-3 (2g EPA/DHA) with meal; Vitamin D3 2000 IU (winter) unless already; Magnesium glycinate 300–400mg PM; Glycine 3g + Taurine 1–2g + Inositol 2g + L-theanine 200mg PM.
• Beta-alanine: 3.2g/day split 1.6g AM + 1.6g PM (8–10 wk load).
• Optional: Caffeine 100–200mg 30–45' pre (only if sleep stable; pair with 100mg theanine).
• Optional: Tongkat Ali 200–400mg AM (cycle 5 days on / weekend off).</t>
        </is>
      </c>
      <c r="R5" s="2" t="inlineStr">
        <is>
          <t>After ride: 10 min easy + couch stretch 2×45s/side + thoracic mobility. Flexbeam 10–15 min.</t>
        </is>
      </c>
      <c r="S5" s="2" t="inlineStr">
        <is>
          <t>2×15 min.</t>
        </is>
      </c>
      <c r="T5" s="2" t="inlineStr">
        <is>
          <t>3×16–17 min.</t>
        </is>
      </c>
      <c r="U5" s="2" t="n"/>
      <c r="V5" s="2" t="n">
        <v>80</v>
      </c>
      <c r="W5" s="2" t="n">
        <v>0</v>
      </c>
      <c r="X5" s="2" t="n">
        <v>0</v>
      </c>
      <c r="Y5" s="2" t="n">
        <v>80</v>
      </c>
      <c r="Z5" s="2" t="n">
        <v>1092</v>
      </c>
      <c r="AA5" s="2" t="n">
        <v>0</v>
      </c>
      <c r="AB5" s="2" t="n">
        <v>0</v>
      </c>
      <c r="AC5" s="2" t="n">
        <v>1092</v>
      </c>
    </row>
    <row r="6">
      <c r="A6" s="2" t="inlineStr">
        <is>
          <t>2026-02-06</t>
        </is>
      </c>
      <c r="B6" s="2" t="n">
        <v>1</v>
      </c>
      <c r="C6" s="2" t="inlineStr">
        <is>
          <t>BUILD</t>
        </is>
      </c>
      <c r="D6" s="2" t="inlineStr">
        <is>
          <t>Friday</t>
        </is>
      </c>
      <c r="E6" s="2" t="inlineStr">
        <is>
          <t>46min Z2 (run replacement)</t>
        </is>
      </c>
      <c r="F6" s="2" t="inlineStr">
        <is>
          <t>Replaced with Z2 bike</t>
        </is>
      </c>
      <c r="G6" s="2" t="inlineStr">
        <is>
          <t>Full-body (Hypertrophy bias, 60–75 min):
A: Front-foot elevated split squat 3×10/leg @ RPE 7–8
B: RDL (DB or bar) 3×8 @ RPE 7–8
C: Hip thrust 3×10 @ RPE 7–8
D: Incline DB press 4×8–12 @ RPE 7–8
E: Lat pulldown or pull-ups 4×8–12
F: Seated cable row 3×10–12
G: Calf raise 3×12–15
H: Core (dead bug / side plank) 2–3 sets
Progression: add reps until top of range, then +2–5% load.</t>
        </is>
      </c>
      <c r="H6" s="2" t="n"/>
      <c r="I6" s="2" t="inlineStr">
        <is>
          <t>3000 kcal | 170P 400C 80F  (meals sum: 3000 kcal | 170P 400C 80F)</t>
        </is>
      </c>
      <c r="J6" s="2" t="inlineStr">
        <is>
          <t>0P 25C 0F</t>
        </is>
      </c>
      <c r="K6" s="2" t="inlineStr">
        <is>
          <t>0P 0C 0F</t>
        </is>
      </c>
      <c r="L6" s="2" t="inlineStr">
        <is>
          <t>48P 126C 15F</t>
        </is>
      </c>
      <c r="M6" s="2" t="inlineStr">
        <is>
          <t>40P 108C 26F</t>
        </is>
      </c>
      <c r="N6" s="2" t="inlineStr">
        <is>
          <t>25P 45C 10F</t>
        </is>
      </c>
      <c r="O6" s="2" t="inlineStr">
        <is>
          <t>37P 81C 24F</t>
        </is>
      </c>
      <c r="P6" s="2" t="inlineStr">
        <is>
          <t>20P 15C 5F</t>
        </is>
      </c>
      <c r="Q6" s="2" t="inlineStr">
        <is>
          <t>• Daily base: Creatine 5g AM; Omega-3 (2g EPA/DHA) with meal; Vitamin D3 2000 IU (winter) unless already; Magnesium glycinate 300–400mg PM; Glycine 3g + Taurine 1–2g + Inositol 2g + L-theanine 200mg PM.
• Beta-alanine: 3.2g/day split 1.6g AM + 1.6g PM (8–10 wk load).
• Optional: Caffeine 100–200mg 30–45' pre (only if sleep stable; pair with 100mg theanine).
• Optional: Tongkat Ali 200–400mg AM (cycle 5 days on / weekend off).</t>
        </is>
      </c>
      <c r="R6" s="2" t="inlineStr">
        <is>
          <t>Foam roll light 6–8 min + 8–12 min downshift (NSDR or box breathing).</t>
        </is>
      </c>
      <c r="S6" s="2" t="n"/>
      <c r="T6" s="2" t="n"/>
      <c r="U6" s="2" t="n"/>
      <c r="V6" s="2" t="n">
        <v>46</v>
      </c>
      <c r="W6" s="2" t="n">
        <v>0</v>
      </c>
      <c r="X6" s="2" t="n">
        <v>75</v>
      </c>
      <c r="Y6" s="2" t="n">
        <v>110</v>
      </c>
      <c r="Z6" s="2" t="n">
        <v>0</v>
      </c>
      <c r="AA6" s="2" t="n">
        <v>546</v>
      </c>
      <c r="AB6" s="2" t="n">
        <v>563</v>
      </c>
      <c r="AC6" s="2" t="n">
        <v>1109</v>
      </c>
    </row>
    <row r="7">
      <c r="A7" s="2" t="inlineStr">
        <is>
          <t>2026-02-07</t>
        </is>
      </c>
      <c r="B7" s="2" t="n">
        <v>1</v>
      </c>
      <c r="C7" s="2" t="inlineStr">
        <is>
          <t>BUILD</t>
        </is>
      </c>
      <c r="D7" s="2" t="inlineStr">
        <is>
          <t>Saturday</t>
        </is>
      </c>
      <c r="E7" s="2" t="inlineStr">
        <is>
          <t>Long ride 3.0h. HR cap ≤78% HRmax. Power cap ≤270W (≤86% FTP). Include 4–6×5 min high-cadence (95–105rpm) sprinkled in. Stay steady; prioritize time-in-saddle.</t>
        </is>
      </c>
      <c r="F7" s="2" t="n"/>
      <c r="G7" s="2" t="n"/>
      <c r="H7" s="2" t="inlineStr">
        <is>
          <t>Long: 80–90 g/h. Sodium 700–1000 mg/h. Start fueling at 15'.</t>
        </is>
      </c>
      <c r="I7" s="2" t="inlineStr">
        <is>
          <t>4000 kcal | 160P 660C 80F  (meals sum: 4000 kcal | 160P 660C 80F)</t>
        </is>
      </c>
      <c r="J7" s="2" t="inlineStr">
        <is>
          <t>0P 30C 0F</t>
        </is>
      </c>
      <c r="K7" s="2" t="inlineStr">
        <is>
          <t>0P 255C 0F</t>
        </is>
      </c>
      <c r="L7" s="2" t="inlineStr">
        <is>
          <t>42P 108C 15F</t>
        </is>
      </c>
      <c r="M7" s="2" t="inlineStr">
        <is>
          <t>40P 108C 26F</t>
        </is>
      </c>
      <c r="N7" s="2" t="inlineStr">
        <is>
          <t>25P 60C 10F</t>
        </is>
      </c>
      <c r="O7" s="2" t="inlineStr">
        <is>
          <t>33P 89C 24F</t>
        </is>
      </c>
      <c r="P7" s="2" t="inlineStr">
        <is>
          <t>20P 10C 5F</t>
        </is>
      </c>
      <c r="Q7" s="2" t="inlineStr">
        <is>
          <t>• Daily base: Creatine 5g AM; Omega-3 (2g EPA/DHA) with meal; Vitamin D3 2000 IU (winter) unless already; Magnesium glycinate 300–400mg PM; Glycine 3g + Taurine 1–2g + Inositol 2g + L-theanine 200mg PM.
• Beta-alanine: 3.2g/day split 1.6g AM + 1.6g PM (8–10 wk load).
• Optional: Caffeine 100–200mg 30–45' pre (only if sleep stable; pair with 100mg theanine).
• Optional: Tongkat Ali 200–400mg AM (cycle 5 days on / weekend off).</t>
        </is>
      </c>
      <c r="R7" s="2" t="inlineStr">
        <is>
          <t>After long ride: 10–15 min walk + legs up the wall 5 min. No deep stretching. Flexbeam optional 10 min if knee/hamstring niggles.</t>
        </is>
      </c>
      <c r="S7" s="2" t="inlineStr">
        <is>
          <t>Cut duration by 30–45 min.</t>
        </is>
      </c>
      <c r="T7" s="2" t="inlineStr">
        <is>
          <t>Add 15–20 min (outdoors) OR add 20 min upper Z2 late.</t>
        </is>
      </c>
      <c r="U7" s="2" t="inlineStr">
        <is>
          <t>Winter options: If icy/dark, do indoor split (AM+PM) OR 2–3h XC ski (Z2) + 60–90 min easy trainer later. Keep fueling totals.</t>
        </is>
      </c>
      <c r="V7" s="2" t="n">
        <v>180</v>
      </c>
      <c r="W7" s="2" t="n">
        <v>0</v>
      </c>
      <c r="X7" s="2" t="n">
        <v>0</v>
      </c>
      <c r="Y7" s="2" t="n">
        <v>180</v>
      </c>
      <c r="Z7" s="2" t="n">
        <v>1966</v>
      </c>
      <c r="AA7" s="2" t="n">
        <v>0</v>
      </c>
      <c r="AB7" s="2" t="n">
        <v>0</v>
      </c>
      <c r="AC7" s="2" t="n">
        <v>1966</v>
      </c>
    </row>
    <row r="8">
      <c r="A8" s="2" t="inlineStr">
        <is>
          <t>2026-02-08</t>
        </is>
      </c>
      <c r="B8" s="2" t="n">
        <v>1</v>
      </c>
      <c r="C8" s="2" t="inlineStr">
        <is>
          <t>BUILD</t>
        </is>
      </c>
      <c r="D8" s="2" t="inlineStr">
        <is>
          <t>Sunday</t>
        </is>
      </c>
      <c r="E8" s="2" t="n"/>
      <c r="F8" s="2" t="n"/>
      <c r="G8" s="2" t="n"/>
      <c r="H8" s="2" t="n"/>
      <c r="I8" s="2" t="inlineStr">
        <is>
          <t>2500 kcal | 160P 262C 90F  (meals sum: 2498 kcal | 160P 262C 90F)</t>
        </is>
      </c>
      <c r="J8" s="2" t="inlineStr">
        <is>
          <t>0P 0C 0F</t>
        </is>
      </c>
      <c r="K8" s="2" t="inlineStr">
        <is>
          <t>0P 0C 0F</t>
        </is>
      </c>
      <c r="L8" s="2" t="inlineStr">
        <is>
          <t>42P 75C 15F</t>
        </is>
      </c>
      <c r="M8" s="2" t="inlineStr">
        <is>
          <t>40P 69C 31F</t>
        </is>
      </c>
      <c r="N8" s="2" t="inlineStr">
        <is>
          <t>25P 45C 10F</t>
        </is>
      </c>
      <c r="O8" s="2" t="inlineStr">
        <is>
          <t>33P 58C 29F</t>
        </is>
      </c>
      <c r="P8" s="2" t="inlineStr">
        <is>
          <t>20P 15C 5F</t>
        </is>
      </c>
      <c r="Q8" s="2" t="inlineStr">
        <is>
          <t>• Daily base: Creatine 5g AM; Omega-3 (2g EPA/DHA) with meal; Vitamin D3 2000 IU (winter) unless already; Magnesium glycinate 300–400mg PM; Glycine 3g + Taurine 1–2g + Inositol 2g + L-theanine 200mg PM.
• Beta-alanine: 3.2g/day split 1.6g AM + 1.6g PM (8–10 wk load).
• Optional: Caffeine 100–200mg 30–45' pre (only if sleep stable; pair with 100mg theanine).
• Optional: Tongkat Ali 200–400mg AM (cycle 5 days on / weekend off).</t>
        </is>
      </c>
      <c r="R8" s="2" t="inlineStr">
        <is>
          <t>Full rest. 20–30 min easy walk + 10 min mobility if you feel stiff. Limit screen stress at night.</t>
        </is>
      </c>
      <c r="S8" s="2" t="n"/>
      <c r="T8" s="2" t="n"/>
      <c r="U8" s="2" t="n"/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</row>
    <row r="9">
      <c r="A9" s="2" t="inlineStr">
        <is>
          <t>2026-02-09</t>
        </is>
      </c>
      <c r="B9" s="2" t="n">
        <v>2</v>
      </c>
      <c r="C9" s="2" t="inlineStr">
        <is>
          <t>BUILD</t>
        </is>
      </c>
      <c r="D9" s="2" t="inlineStr">
        <is>
          <t>Monday</t>
        </is>
      </c>
      <c r="E9" s="2" t="inlineStr">
        <is>
          <t>Warm-up:
• 10 min @ 65–70% FTP
• 3×1 min @ 105% FTP (1 min @ 60% FTP between)
Main set:
• 3×13 min @ 302–312W (~96–99% FTP)
  – Recovery: 5 min @ 60% FTP
Cooldown:
• 10 min @ 60–65% FTP + 46min Z2 (run replacement)</t>
        </is>
      </c>
      <c r="F9" s="2" t="inlineStr">
        <is>
          <t>Replaced with Z2 bike</t>
        </is>
      </c>
      <c r="G9" s="2" t="inlineStr">
        <is>
          <t>Upper body + core (optional 45–60 min):
A: Bench or OHP 4×6 @ RPE 7
B: Pull-ups or pulldown 4×6–10
C: DB row 3×10
D: Lateral raise 3×12–15
E: Triceps + biceps 2–3×10–15
F: Core: Pallof press 3×10/side + plank 2×45–60s
Keep this away from failure.
Added (moderate load, post-bike):
• Bulgarian Split Squat or Step-Up
  3×6–8 / leg @ RIR 2–3
  Controlled eccentric, no grind</t>
        </is>
      </c>
      <c r="H9" s="2" t="inlineStr">
        <is>
          <t>Bike: 60–80 g/h (mix glucose+fructose). 500–750 ml/h + sodium 500–800 mg/h.</t>
        </is>
      </c>
      <c r="I9" s="2" t="inlineStr">
        <is>
          <t>3300 kcal | 165P 502C 70F  (meals sum: 3298 kcal | 165P 502C 70F)</t>
        </is>
      </c>
      <c r="J9" s="2" t="inlineStr">
        <is>
          <t>0P 30C 0F</t>
        </is>
      </c>
      <c r="K9" s="2" t="inlineStr">
        <is>
          <t>0P 70C 0F</t>
        </is>
      </c>
      <c r="L9" s="2" t="inlineStr">
        <is>
          <t>45P 109C 15F</t>
        </is>
      </c>
      <c r="M9" s="2" t="inlineStr">
        <is>
          <t>40P 125C 20F</t>
        </is>
      </c>
      <c r="N9" s="2" t="inlineStr">
        <is>
          <t>25P 60C 10F</t>
        </is>
      </c>
      <c r="O9" s="2" t="inlineStr">
        <is>
          <t>35P 98C 20F</t>
        </is>
      </c>
      <c r="P9" s="2" t="inlineStr">
        <is>
          <t>20P 10C 5F</t>
        </is>
      </c>
      <c r="Q9" s="2" t="inlineStr">
        <is>
          <t>• Daily base: Creatine 5g AM; Omega-3 (2g EPA/DHA) with meal; Vitamin D3 2000 IU (winter) unless already; Magnesium glycinate 300–400mg PM; Glycine 3g + Taurine 1–2g + Inositol 2g + L-theanine 200mg PM.
• Beta-alanine: 3.2g/day split 1.6g AM + 1.6g PM (8–10 wk load).
• Optional: Caffeine 100–200mg 30–45' pre (only if sleep stable; pair with 100mg theanine).
• Optional: Tongkat Ali 200–400mg AM (cycle 5 days on / weekend off).</t>
        </is>
      </c>
      <c r="R9" s="2" t="inlineStr">
        <is>
          <t>Post: 5–8 min easy spin-down + 5 min nasal breathing. Evening: Flexbeam 10–15 min + gentle hamstring nerve glide (NOT aggressive stretching).</t>
        </is>
      </c>
      <c r="S9" s="2" t="inlineStr">
        <is>
          <t>Do 3×11–12 min.</t>
        </is>
      </c>
      <c r="T9" s="2" t="inlineStr">
        <is>
          <t>Make last rep 14 min.</t>
        </is>
      </c>
      <c r="U9" s="2" t="n"/>
      <c r="V9" s="2" t="n">
        <v>120</v>
      </c>
      <c r="W9" s="2" t="n">
        <v>0</v>
      </c>
      <c r="X9" s="2" t="n">
        <v>0</v>
      </c>
      <c r="Y9" s="2" t="n">
        <v>109</v>
      </c>
      <c r="Z9" s="2" t="n">
        <v>1212</v>
      </c>
      <c r="AA9" s="2" t="n">
        <v>546</v>
      </c>
      <c r="AB9" s="2" t="n">
        <v>0</v>
      </c>
      <c r="AC9" s="2" t="n">
        <v>1758</v>
      </c>
    </row>
    <row r="10">
      <c r="A10" s="2" t="inlineStr">
        <is>
          <t>2026-02-10</t>
        </is>
      </c>
      <c r="B10" s="2" t="n">
        <v>2</v>
      </c>
      <c r="C10" s="2" t="inlineStr">
        <is>
          <t>BUILD</t>
        </is>
      </c>
      <c r="D10" s="2" t="inlineStr">
        <is>
          <t>Tuesday</t>
        </is>
      </c>
      <c r="E10" s="2" t="inlineStr">
        <is>
          <t>OFF or 45–60 min Z2 @ 205–235W (65–75% FTP) (65–75% FTP).</t>
        </is>
      </c>
      <c r="F10" s="2" t="inlineStr">
        <is>
          <t>Easy 35 min (≤75% HRmax).</t>
        </is>
      </c>
      <c r="G10" s="2" t="n"/>
      <c r="H10" s="2" t="n"/>
      <c r="I10" s="2" t="inlineStr">
        <is>
          <t>2800 kcal | 160P 360C 80F  (meals sum: 2800 kcal | 160P 360C 80F)</t>
        </is>
      </c>
      <c r="J10" s="2" t="inlineStr">
        <is>
          <t>0P 25C 0F</t>
        </is>
      </c>
      <c r="K10" s="2" t="inlineStr">
        <is>
          <t>0P 0C 0F</t>
        </is>
      </c>
      <c r="L10" s="2" t="inlineStr">
        <is>
          <t>42P 108C 15F</t>
        </is>
      </c>
      <c r="M10" s="2" t="inlineStr">
        <is>
          <t>40P 94C 26F</t>
        </is>
      </c>
      <c r="N10" s="2" t="inlineStr">
        <is>
          <t>25P 45C 10F</t>
        </is>
      </c>
      <c r="O10" s="2" t="inlineStr">
        <is>
          <t>33P 73C 24F</t>
        </is>
      </c>
      <c r="P10" s="2" t="inlineStr">
        <is>
          <t>20P 15C 5F</t>
        </is>
      </c>
      <c r="Q10" s="2" t="inlineStr">
        <is>
          <t>• Daily base: Creatine 5g AM; Omega-3 (2g EPA/DHA) with meal; Vitamin D3 2000 IU (winter) unless already; Magnesium glycinate 300–400mg PM; Glycine 3g + Taurine 1–2g + Inositol 2g + L-theanine 200mg PM.
• Beta-alanine: 3.2g/day split 1.6g AM + 1.6g PM (8–10 wk load).
• Optional: Caffeine 100–200mg 30–45' pre (only if sleep stable; pair with 100mg theanine).
• Optional: Tongkat Ali 200–400mg AM (cycle 5 days on / weekend off).</t>
        </is>
      </c>
      <c r="R10" s="2" t="inlineStr">
        <is>
          <t>Foam roll calves/quads 8–10 min + hip mobility 8 min. Flexbeam optional 10 min if hamstring feels tight.</t>
        </is>
      </c>
      <c r="S10" s="2" t="inlineStr">
        <is>
          <t>OFF.</t>
        </is>
      </c>
      <c r="T10" s="2" t="inlineStr">
        <is>
          <t>Add 10 min easy if time.</t>
        </is>
      </c>
      <c r="U10" s="2" t="n"/>
      <c r="V10" s="2" t="n">
        <v>0</v>
      </c>
      <c r="W10" s="2" t="n">
        <v>0</v>
      </c>
      <c r="X10" s="2" t="n">
        <v>50</v>
      </c>
      <c r="Y10" s="2" t="n">
        <v>50</v>
      </c>
      <c r="Z10" s="2" t="n">
        <v>0</v>
      </c>
      <c r="AA10" s="2" t="n">
        <v>0</v>
      </c>
      <c r="AB10" s="2" t="n">
        <v>375</v>
      </c>
      <c r="AC10" s="2" t="n">
        <v>375</v>
      </c>
    </row>
    <row r="11">
      <c r="A11" s="2" t="inlineStr">
        <is>
          <t>2026-02-11</t>
        </is>
      </c>
      <c r="B11" s="2" t="n">
        <v>2</v>
      </c>
      <c r="C11" s="2" t="inlineStr">
        <is>
          <t>BUILD</t>
        </is>
      </c>
      <c r="D11" s="2" t="inlineStr">
        <is>
          <t>Wednesday</t>
        </is>
      </c>
      <c r="E11" s="2" t="inlineStr">
        <is>
          <t>73min Z2 (run replacement)</t>
        </is>
      </c>
      <c r="F11" s="2" t="inlineStr">
        <is>
          <t>Replaced with Z2 bike</t>
        </is>
      </c>
      <c r="G11" s="2" t="inlineStr">
        <is>
          <t>Full-body (Heavy bias):
A: Trap bar DL 5×4 @ RPE 7–8
Progress: +2.5–5 kg if last set clean
B: Bench press 4×5 @ RPE 7–8
C: Split squat 3×6–8/leg @ RPE 8
D: Chest-supported row 4×6–8 @ RPE 7–8
E: Hamstring ecc (Nordic OR slider) 3×6–10 (slow 3–4s down)
F: Calf raise 3×10–12
G: Anti-rotation core 3×8–10/side
Rest: 2–3 min big lifts; 60–90" accessories.</t>
        </is>
      </c>
      <c r="H11" s="2" t="n"/>
      <c r="I11" s="2" t="inlineStr">
        <is>
          <t>3000 kcal | 170P 400C 80F  (meals sum: 3000 kcal | 170P 400C 80F)</t>
        </is>
      </c>
      <c r="J11" s="2" t="inlineStr">
        <is>
          <t>0P 25C 0F</t>
        </is>
      </c>
      <c r="K11" s="2" t="inlineStr">
        <is>
          <t>0P 0C 0F</t>
        </is>
      </c>
      <c r="L11" s="2" t="inlineStr">
        <is>
          <t>48P 126C 15F</t>
        </is>
      </c>
      <c r="M11" s="2" t="inlineStr">
        <is>
          <t>40P 108C 26F</t>
        </is>
      </c>
      <c r="N11" s="2" t="inlineStr">
        <is>
          <t>25P 45C 10F</t>
        </is>
      </c>
      <c r="O11" s="2" t="inlineStr">
        <is>
          <t>37P 81C 24F</t>
        </is>
      </c>
      <c r="P11" s="2" t="inlineStr">
        <is>
          <t>20P 15C 5F</t>
        </is>
      </c>
      <c r="Q11" s="2" t="inlineStr">
        <is>
          <t>• Daily base: Creatine 5g AM; Omega-3 (2g EPA/DHA) with meal; Vitamin D3 2000 IU (winter) unless already; Magnesium glycinate 300–400mg PM; Glycine 3g + Taurine 1–2g + Inositol 2g + L-theanine 200mg PM.
• Beta-alanine: 3.2g/day split 1.6g AM + 1.6g PM (8–10 wk load).
• Optional: Caffeine 100–200mg 30–45' pre (only if sleep stable; pair with 100mg theanine).
• Optional: Tongkat Ali 200–400mg AM (cycle 5 days on / weekend off).</t>
        </is>
      </c>
      <c r="R11" s="2" t="inlineStr">
        <is>
          <t>After strength: massage gun glute/hamstring 6–8 min + light hip flexor stretch. Flexbeam 10 min if sore.</t>
        </is>
      </c>
      <c r="S11" s="2" t="n"/>
      <c r="T11" s="2" t="n"/>
      <c r="U11" s="2" t="n"/>
      <c r="V11" s="2" t="n">
        <v>73</v>
      </c>
      <c r="W11" s="2" t="n">
        <v>0</v>
      </c>
      <c r="X11" s="2" t="n">
        <v>75</v>
      </c>
      <c r="Y11" s="2" t="n">
        <v>130</v>
      </c>
      <c r="Z11" s="2" t="n">
        <v>0</v>
      </c>
      <c r="AA11" s="2" t="n">
        <v>858</v>
      </c>
      <c r="AB11" s="2" t="n">
        <v>563</v>
      </c>
      <c r="AC11" s="2" t="n">
        <v>1421</v>
      </c>
    </row>
    <row r="12">
      <c r="A12" s="2" t="inlineStr">
        <is>
          <t>2026-02-12</t>
        </is>
      </c>
      <c r="B12" s="2" t="n">
        <v>2</v>
      </c>
      <c r="C12" s="2" t="inlineStr">
        <is>
          <t>BUILD</t>
        </is>
      </c>
      <c r="D12" s="2" t="inlineStr">
        <is>
          <t>Thursday</t>
        </is>
      </c>
      <c r="E12" s="2" t="inlineStr">
        <is>
          <t>Warm-up:
• 10 min @ 65–70% FTP
• 3×1 min @ 105% FTP (1 min @ 60% FTP between)
Main set:
• 3×18 min @ 277–284W (~88–90% FTP)
  – Recovery: 5 min @ 60% FTP
Cooldown:
• 10 min @ 60–65% FTP</t>
        </is>
      </c>
      <c r="F12" s="2" t="n"/>
      <c r="G12" s="2" t="n"/>
      <c r="H12" s="2" t="inlineStr">
        <is>
          <t>Bike: 60–70 g/h. 500–750 ml/h.</t>
        </is>
      </c>
      <c r="I12" s="2" t="inlineStr">
        <is>
          <t>3100 kcal | 160P 458C 70F  (meals sum: 3102 kcal | 160P 458C 70F)</t>
        </is>
      </c>
      <c r="J12" s="2" t="inlineStr">
        <is>
          <t>0P 30C 0F</t>
        </is>
      </c>
      <c r="K12" s="2" t="inlineStr">
        <is>
          <t>0P 60C 0F</t>
        </is>
      </c>
      <c r="L12" s="2" t="inlineStr">
        <is>
          <t>42P 94C 15F</t>
        </is>
      </c>
      <c r="M12" s="2" t="inlineStr">
        <is>
          <t>40P 112C 20F</t>
        </is>
      </c>
      <c r="N12" s="2" t="inlineStr">
        <is>
          <t>25P 60C 10F</t>
        </is>
      </c>
      <c r="O12" s="2" t="inlineStr">
        <is>
          <t>33P 92C 20F</t>
        </is>
      </c>
      <c r="P12" s="2" t="inlineStr">
        <is>
          <t>20P 10C 5F</t>
        </is>
      </c>
      <c r="Q12" s="2" t="inlineStr">
        <is>
          <t>• Daily base: Creatine 5g AM; Omega-3 (2g EPA/DHA) with meal; Vitamin D3 2000 IU (winter) unless already; Magnesium glycinate 300–400mg PM; Glycine 3g + Taurine 1–2g + Inositol 2g + L-theanine 200mg PM.
• Beta-alanine: 3.2g/day split 1.6g AM + 1.6g PM (8–10 wk load).
• Optional: Caffeine 100–200mg 30–45' pre (only if sleep stable; pair with 100mg theanine).
• Optional: Tongkat Ali 200–400mg AM (cycle 5 days on / weekend off).</t>
        </is>
      </c>
      <c r="R12" s="2" t="inlineStr">
        <is>
          <t>After ride: 10 min easy + couch stretch 2×45s/side + thoracic mobility. Flexbeam 10–15 min.</t>
        </is>
      </c>
      <c r="S12" s="2" t="inlineStr">
        <is>
          <t>3×15 min.</t>
        </is>
      </c>
      <c r="T12" s="2" t="inlineStr">
        <is>
          <t>3×19–20 min.</t>
        </is>
      </c>
      <c r="U12" s="2" t="n"/>
      <c r="V12" s="2" t="n">
        <v>89</v>
      </c>
      <c r="W12" s="2" t="n">
        <v>0</v>
      </c>
      <c r="X12" s="2" t="n">
        <v>0</v>
      </c>
      <c r="Y12" s="2" t="n">
        <v>89</v>
      </c>
      <c r="Z12" s="2" t="n">
        <v>1215</v>
      </c>
      <c r="AA12" s="2" t="n">
        <v>0</v>
      </c>
      <c r="AB12" s="2" t="n">
        <v>0</v>
      </c>
      <c r="AC12" s="2" t="n">
        <v>1215</v>
      </c>
    </row>
    <row r="13">
      <c r="A13" s="2" t="inlineStr">
        <is>
          <t>2026-02-13</t>
        </is>
      </c>
      <c r="B13" s="2" t="n">
        <v>2</v>
      </c>
      <c r="C13" s="2" t="inlineStr">
        <is>
          <t>BUILD</t>
        </is>
      </c>
      <c r="D13" s="2" t="inlineStr">
        <is>
          <t>Friday</t>
        </is>
      </c>
      <c r="E13" s="2" t="inlineStr">
        <is>
          <t>46min Z2 (run replacement)</t>
        </is>
      </c>
      <c r="F13" s="2" t="inlineStr">
        <is>
          <t>Replaced with Z2 bike</t>
        </is>
      </c>
      <c r="G13" s="2" t="inlineStr">
        <is>
          <t>Full-body (Hypertrophy bias, 60–75 min):
A: Front-foot elevated split squat 3×10/leg @ RPE 7–8
B: RDL (DB or bar) 3×8 @ RPE 7–8
C: Hip thrust 3×10 @ RPE 7–8
D: Incline DB press 4×8–12 @ RPE 7–8
E: Lat pulldown or pull-ups 4×8–12
F: Seated cable row 3×10–12
G: Calf raise 3×12–15
H: Core (dead bug / side plank) 2–3 sets
Progression: add reps until top of range, then +2–5% load.</t>
        </is>
      </c>
      <c r="H13" s="2" t="n"/>
      <c r="I13" s="2" t="inlineStr">
        <is>
          <t>3000 kcal | 170P 400C 80F  (meals sum: 3000 kcal | 170P 400C 80F)</t>
        </is>
      </c>
      <c r="J13" s="2" t="inlineStr">
        <is>
          <t>0P 25C 0F</t>
        </is>
      </c>
      <c r="K13" s="2" t="inlineStr">
        <is>
          <t>0P 0C 0F</t>
        </is>
      </c>
      <c r="L13" s="2" t="inlineStr">
        <is>
          <t>48P 126C 15F</t>
        </is>
      </c>
      <c r="M13" s="2" t="inlineStr">
        <is>
          <t>40P 108C 26F</t>
        </is>
      </c>
      <c r="N13" s="2" t="inlineStr">
        <is>
          <t>25P 45C 10F</t>
        </is>
      </c>
      <c r="O13" s="2" t="inlineStr">
        <is>
          <t>37P 81C 24F</t>
        </is>
      </c>
      <c r="P13" s="2" t="inlineStr">
        <is>
          <t>20P 15C 5F</t>
        </is>
      </c>
      <c r="Q13" s="2" t="inlineStr">
        <is>
          <t>• Daily base: Creatine 5g AM; Omega-3 (2g EPA/DHA) with meal; Vitamin D3 2000 IU (winter) unless already; Magnesium glycinate 300–400mg PM; Glycine 3g + Taurine 1–2g + Inositol 2g + L-theanine 200mg PM.
• Beta-alanine: 3.2g/day split 1.6g AM + 1.6g PM (8–10 wk load).
• Optional: Caffeine 100–200mg 30–45' pre (only if sleep stable; pair with 100mg theanine).
• Optional: Tongkat Ali 200–400mg AM (cycle 5 days on / weekend off).</t>
        </is>
      </c>
      <c r="R13" s="2" t="inlineStr">
        <is>
          <t>Foam roll light 6–8 min + 8–12 min downshift (NSDR or box breathing).</t>
        </is>
      </c>
      <c r="S13" s="2" t="n"/>
      <c r="T13" s="2" t="n"/>
      <c r="U13" s="2" t="n"/>
      <c r="V13" s="2" t="n">
        <v>46</v>
      </c>
      <c r="W13" s="2" t="n">
        <v>0</v>
      </c>
      <c r="X13" s="2" t="n">
        <v>75</v>
      </c>
      <c r="Y13" s="2" t="n">
        <v>110</v>
      </c>
      <c r="Z13" s="2" t="n">
        <v>0</v>
      </c>
      <c r="AA13" s="2" t="n">
        <v>546</v>
      </c>
      <c r="AB13" s="2" t="n">
        <v>563</v>
      </c>
      <c r="AC13" s="2" t="n">
        <v>1109</v>
      </c>
    </row>
    <row r="14">
      <c r="A14" s="2" t="inlineStr">
        <is>
          <t>2026-02-14</t>
        </is>
      </c>
      <c r="B14" s="2" t="n">
        <v>2</v>
      </c>
      <c r="C14" s="2" t="inlineStr">
        <is>
          <t>BUILD</t>
        </is>
      </c>
      <c r="D14" s="2" t="inlineStr">
        <is>
          <t>Saturday</t>
        </is>
      </c>
      <c r="E14" s="2" t="inlineStr">
        <is>
          <t>Long ride 3.5h. HR cap ≤78% HRmax. Power cap ≤270W (≤86% FTP). Include 4–6×5 min high-cadence (95–105rpm) sprinkled in. Stay steady; prioritize time-in-saddle.</t>
        </is>
      </c>
      <c r="F14" s="2" t="n"/>
      <c r="G14" s="2" t="n"/>
      <c r="H14" s="2" t="inlineStr">
        <is>
          <t>Long: 80–90 g/h. Sodium 700–1000 mg/h. Start fueling at 15'.</t>
        </is>
      </c>
      <c r="I14" s="2" t="inlineStr">
        <is>
          <t>4000 kcal | 160P 660C 80F  (meals sum: 4000 kcal | 160P 660C 80F)</t>
        </is>
      </c>
      <c r="J14" s="2" t="inlineStr">
        <is>
          <t>0P 30C 0F</t>
        </is>
      </c>
      <c r="K14" s="2" t="inlineStr">
        <is>
          <t>0P 298C 0F</t>
        </is>
      </c>
      <c r="L14" s="2" t="inlineStr">
        <is>
          <t>42P 88C 15F</t>
        </is>
      </c>
      <c r="M14" s="2" t="inlineStr">
        <is>
          <t>40P 94C 26F</t>
        </is>
      </c>
      <c r="N14" s="2" t="inlineStr">
        <is>
          <t>25P 60C 10F</t>
        </is>
      </c>
      <c r="O14" s="2" t="inlineStr">
        <is>
          <t>33P 80C 24F</t>
        </is>
      </c>
      <c r="P14" s="2" t="inlineStr">
        <is>
          <t>20P 10C 5F</t>
        </is>
      </c>
      <c r="Q14" s="2" t="inlineStr">
        <is>
          <t>• Daily base: Creatine 5g AM; Omega-3 (2g EPA/DHA) with meal; Vitamin D3 2000 IU (winter) unless already; Magnesium glycinate 300–400mg PM; Glycine 3g + Taurine 1–2g + Inositol 2g + L-theanine 200mg PM.
• Beta-alanine: 3.2g/day split 1.6g AM + 1.6g PM (8–10 wk load).
• Optional: Caffeine 100–200mg 30–45' pre (only if sleep stable; pair with 100mg theanine).
• Optional: Tongkat Ali 200–400mg AM (cycle 5 days on / weekend off).</t>
        </is>
      </c>
      <c r="R14" s="2" t="inlineStr">
        <is>
          <t>After long ride: 10–15 min walk + legs up the wall 5 min. No deep stretching. Flexbeam optional 10 min if knee/hamstring niggles.</t>
        </is>
      </c>
      <c r="S14" s="2" t="inlineStr">
        <is>
          <t>Cut duration by 30–45 min.</t>
        </is>
      </c>
      <c r="T14" s="2" t="inlineStr">
        <is>
          <t>Add 15–20 min (outdoors) OR add 20 min upper Z2 late.</t>
        </is>
      </c>
      <c r="U14" s="2" t="inlineStr">
        <is>
          <t>Winter options: If icy/dark, do indoor split (AM+PM) OR 2–3h XC ski (Z2) + 60–90 min easy trainer later. Keep fueling totals.</t>
        </is>
      </c>
      <c r="V14" s="2" t="n">
        <v>210</v>
      </c>
      <c r="W14" s="2" t="n">
        <v>0</v>
      </c>
      <c r="X14" s="2" t="n">
        <v>0</v>
      </c>
      <c r="Y14" s="2" t="n">
        <v>210</v>
      </c>
      <c r="Z14" s="2" t="n">
        <v>2293</v>
      </c>
      <c r="AA14" s="2" t="n">
        <v>0</v>
      </c>
      <c r="AB14" s="2" t="n">
        <v>0</v>
      </c>
      <c r="AC14" s="2" t="n">
        <v>2293</v>
      </c>
    </row>
    <row r="15">
      <c r="A15" s="2" t="inlineStr">
        <is>
          <t>2026-02-15</t>
        </is>
      </c>
      <c r="B15" s="2" t="n">
        <v>2</v>
      </c>
      <c r="C15" s="2" t="inlineStr">
        <is>
          <t>BUILD</t>
        </is>
      </c>
      <c r="D15" s="2" t="inlineStr">
        <is>
          <t>Sunday</t>
        </is>
      </c>
      <c r="E15" s="2" t="n"/>
      <c r="F15" s="2" t="n"/>
      <c r="G15" s="2" t="n"/>
      <c r="H15" s="2" t="n"/>
      <c r="I15" s="2" t="inlineStr">
        <is>
          <t>2500 kcal | 160P 262C 90F  (meals sum: 2498 kcal | 160P 262C 90F)</t>
        </is>
      </c>
      <c r="J15" s="2" t="inlineStr">
        <is>
          <t>0P 0C 0F</t>
        </is>
      </c>
      <c r="K15" s="2" t="inlineStr">
        <is>
          <t>0P 0C 0F</t>
        </is>
      </c>
      <c r="L15" s="2" t="inlineStr">
        <is>
          <t>42P 75C 15F</t>
        </is>
      </c>
      <c r="M15" s="2" t="inlineStr">
        <is>
          <t>40P 69C 31F</t>
        </is>
      </c>
      <c r="N15" s="2" t="inlineStr">
        <is>
          <t>25P 45C 10F</t>
        </is>
      </c>
      <c r="O15" s="2" t="inlineStr">
        <is>
          <t>33P 58C 29F</t>
        </is>
      </c>
      <c r="P15" s="2" t="inlineStr">
        <is>
          <t>20P 15C 5F</t>
        </is>
      </c>
      <c r="Q15" s="2" t="inlineStr">
        <is>
          <t>• Daily base: Creatine 5g AM; Omega-3 (2g EPA/DHA) with meal; Vitamin D3 2000 IU (winter) unless already; Magnesium glycinate 300–400mg PM; Glycine 3g + Taurine 1–2g + Inositol 2g + L-theanine 200mg PM.
• Beta-alanine: 3.2g/day split 1.6g AM + 1.6g PM (8–10 wk load).
• Optional: Caffeine 100–200mg 30–45' pre (only if sleep stable; pair with 100mg theanine).
• Optional: Tongkat Ali 200–400mg AM (cycle 5 days on / weekend off).</t>
        </is>
      </c>
      <c r="R15" s="2" t="inlineStr">
        <is>
          <t>Full rest. 20–30 min easy walk + 10 min mobility if you feel stiff. Limit screen stress at night.</t>
        </is>
      </c>
      <c r="S15" s="2" t="n"/>
      <c r="T15" s="2" t="n"/>
      <c r="U15" s="2" t="n"/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</row>
    <row r="16">
      <c r="A16" s="2" t="inlineStr">
        <is>
          <t>2026-02-16</t>
        </is>
      </c>
      <c r="B16" s="2" t="n">
        <v>3</v>
      </c>
      <c r="C16" s="2" t="inlineStr">
        <is>
          <t>BUILD</t>
        </is>
      </c>
      <c r="D16" s="2" t="inlineStr">
        <is>
          <t>Monday</t>
        </is>
      </c>
      <c r="E16" s="2" t="inlineStr">
        <is>
          <t>Warm-up:
• 10 min @ 65–70% FTP
• 3×1 min @ 105% FTP (1 min @ 60% FTP between)
Main set:
• 3×15 min @ 302–315W (~96–100% FTP)
  – Recovery: 5 min @ 60% FTP
Cooldown:
• 10 min @ 60–65% FTP + 53min Z2 (run replacement)</t>
        </is>
      </c>
      <c r="F16" s="2" t="inlineStr">
        <is>
          <t>Replaced with Z2 bike</t>
        </is>
      </c>
      <c r="G16" s="2" t="inlineStr">
        <is>
          <t>Upper body + core (optional 45–60 min):
A: Bench or OHP 4×6 @ RPE 7
B: Pull-ups or pulldown 4×6–10
C: DB row 3×10
D: Lateral raise 3×12–15
E: Triceps + biceps 2–3×10–15
F: Core: Pallof press 3×10/side + plank 2×45–60s
Keep this away from failure.
Added (moderate load, post-bike):
• Bulgarian Split Squat or Step-Up
  3×6–8 / leg @ RIR 2–3
  Controlled eccentric, no grind</t>
        </is>
      </c>
      <c r="H16" s="2" t="inlineStr">
        <is>
          <t>Bike: 60–80 g/h (mix glucose+fructose). 500–750 ml/h + sodium 500–800 mg/h.</t>
        </is>
      </c>
      <c r="I16" s="2" t="inlineStr">
        <is>
          <t>3300 kcal | 165P 502C 70F  (meals sum: 3298 kcal | 165P 502C 70F)</t>
        </is>
      </c>
      <c r="J16" s="2" t="inlineStr">
        <is>
          <t>0P 30C 0F</t>
        </is>
      </c>
      <c r="K16" s="2" t="inlineStr">
        <is>
          <t>0P 70C 0F</t>
        </is>
      </c>
      <c r="L16" s="2" t="inlineStr">
        <is>
          <t>45P 109C 15F</t>
        </is>
      </c>
      <c r="M16" s="2" t="inlineStr">
        <is>
          <t>40P 125C 20F</t>
        </is>
      </c>
      <c r="N16" s="2" t="inlineStr">
        <is>
          <t>25P 60C 10F</t>
        </is>
      </c>
      <c r="O16" s="2" t="inlineStr">
        <is>
          <t>35P 98C 20F</t>
        </is>
      </c>
      <c r="P16" s="2" t="inlineStr">
        <is>
          <t>20P 10C 5F</t>
        </is>
      </c>
      <c r="Q16" s="2" t="inlineStr">
        <is>
          <t>• Daily base: Creatine 5g AM; Omega-3 (2g EPA/DHA) with meal; Vitamin D3 2000 IU (winter) unless already; Magnesium glycinate 300–400mg PM; Glycine 3g + Taurine 1–2g + Inositol 2g + L-theanine 200mg PM.
• Beta-alanine: 3.2g/day split 1.6g AM + 1.6g PM (8–10 wk load).
• Optional: Caffeine 100–200mg 30–45' pre (only if sleep stable; pair with 100mg theanine).
• Optional: Tongkat Ali 200–400mg AM (cycle 5 days on / weekend off).</t>
        </is>
      </c>
      <c r="R16" s="2" t="inlineStr">
        <is>
          <t>Post: 5–8 min easy spin-down + 5 min nasal breathing. Evening: Flexbeam 10–15 min + gentle hamstring nerve glide (NOT aggressive stretching).</t>
        </is>
      </c>
      <c r="S16" s="2" t="inlineStr">
        <is>
          <t>Do 2×15 min.</t>
        </is>
      </c>
      <c r="T16" s="2" t="inlineStr">
        <is>
          <t>Last 5 min of rep 3 @ 100%.</t>
        </is>
      </c>
      <c r="U16" s="2" t="n"/>
      <c r="V16" s="2" t="n">
        <v>133</v>
      </c>
      <c r="W16" s="2" t="n">
        <v>0</v>
      </c>
      <c r="X16" s="2" t="n">
        <v>0</v>
      </c>
      <c r="Y16" s="2" t="n">
        <v>120</v>
      </c>
      <c r="Z16" s="2" t="n">
        <v>1310</v>
      </c>
      <c r="AA16" s="2" t="n">
        <v>624</v>
      </c>
      <c r="AB16" s="2" t="n">
        <v>0</v>
      </c>
      <c r="AC16" s="2" t="n">
        <v>1934</v>
      </c>
    </row>
    <row r="17">
      <c r="A17" s="2" t="inlineStr">
        <is>
          <t>2026-02-17</t>
        </is>
      </c>
      <c r="B17" s="2" t="n">
        <v>3</v>
      </c>
      <c r="C17" s="2" t="inlineStr">
        <is>
          <t>BUILD</t>
        </is>
      </c>
      <c r="D17" s="2" t="inlineStr">
        <is>
          <t>Tuesday</t>
        </is>
      </c>
      <c r="E17" s="2" t="inlineStr">
        <is>
          <t>OFF or 45–60 min Z2 @ 205–235W (65–75% FTP) (65–75% FTP).</t>
        </is>
      </c>
      <c r="F17" s="2" t="inlineStr">
        <is>
          <t>Easy 40 min (≤75% HRmax).</t>
        </is>
      </c>
      <c r="G17" s="2" t="n"/>
      <c r="H17" s="2" t="n"/>
      <c r="I17" s="2" t="inlineStr">
        <is>
          <t>2800 kcal | 160P 360C 80F  (meals sum: 2800 kcal | 160P 360C 80F)</t>
        </is>
      </c>
      <c r="J17" s="2" t="inlineStr">
        <is>
          <t>0P 25C 0F</t>
        </is>
      </c>
      <c r="K17" s="2" t="inlineStr">
        <is>
          <t>0P 0C 0F</t>
        </is>
      </c>
      <c r="L17" s="2" t="inlineStr">
        <is>
          <t>42P 108C 15F</t>
        </is>
      </c>
      <c r="M17" s="2" t="inlineStr">
        <is>
          <t>40P 94C 26F</t>
        </is>
      </c>
      <c r="N17" s="2" t="inlineStr">
        <is>
          <t>25P 45C 10F</t>
        </is>
      </c>
      <c r="O17" s="2" t="inlineStr">
        <is>
          <t>33P 73C 24F</t>
        </is>
      </c>
      <c r="P17" s="2" t="inlineStr">
        <is>
          <t>20P 15C 5F</t>
        </is>
      </c>
      <c r="Q17" s="2" t="inlineStr">
        <is>
          <t>• Daily base: Creatine 5g AM; Omega-3 (2g EPA/DHA) with meal; Vitamin D3 2000 IU (winter) unless already; Magnesium glycinate 300–400mg PM; Glycine 3g + Taurine 1–2g + Inositol 2g + L-theanine 200mg PM.
• Beta-alanine: 3.2g/day split 1.6g AM + 1.6g PM (8–10 wk load).
• Optional: Caffeine 100–200mg 30–45' pre (only if sleep stable; pair with 100mg theanine).
• Optional: Tongkat Ali 200–400mg AM (cycle 5 days on / weekend off).</t>
        </is>
      </c>
      <c r="R17" s="2" t="inlineStr">
        <is>
          <t>Foam roll calves/quads 8–10 min + hip mobility 8 min. Flexbeam optional 10 min if hamstring feels tight.</t>
        </is>
      </c>
      <c r="S17" s="2" t="inlineStr">
        <is>
          <t>OFF.</t>
        </is>
      </c>
      <c r="T17" s="2" t="inlineStr">
        <is>
          <t>Add 10 min easy if time.</t>
        </is>
      </c>
      <c r="U17" s="2" t="n"/>
      <c r="V17" s="2" t="n">
        <v>0</v>
      </c>
      <c r="W17" s="2" t="n">
        <v>0</v>
      </c>
      <c r="X17" s="2" t="n">
        <v>50</v>
      </c>
      <c r="Y17" s="2" t="n">
        <v>50</v>
      </c>
      <c r="Z17" s="2" t="n">
        <v>0</v>
      </c>
      <c r="AA17" s="2" t="n">
        <v>0</v>
      </c>
      <c r="AB17" s="2" t="n">
        <v>375</v>
      </c>
      <c r="AC17" s="2" t="n">
        <v>375</v>
      </c>
    </row>
    <row r="18">
      <c r="A18" s="2" t="inlineStr">
        <is>
          <t>2026-02-18</t>
        </is>
      </c>
      <c r="B18" s="2" t="n">
        <v>3</v>
      </c>
      <c r="C18" s="2" t="inlineStr">
        <is>
          <t>BUILD</t>
        </is>
      </c>
      <c r="D18" s="2" t="inlineStr">
        <is>
          <t>Wednesday</t>
        </is>
      </c>
      <c r="E18" s="2" t="inlineStr">
        <is>
          <t>73min Z2 (run replacement)</t>
        </is>
      </c>
      <c r="F18" s="2" t="inlineStr">
        <is>
          <t>Replaced with Z2 bike</t>
        </is>
      </c>
      <c r="G18" s="2" t="inlineStr">
        <is>
          <t>Full-body (Heavy bias):
A: Trap bar DL 6×3 @ RPE 7–8
Progress: +2.5–5 kg OR keep load and tighten reps/tempo
B: Bench press 4×5 @ RPE 7–8
C: Split squat 3×6–8/leg @ RPE 8
D: Chest-supported row 4×6–8 @ RPE 7–8
E: Hamstring ecc (Nordic OR slider) 3×6–10 (slow 3–4s down)
F: Calf raise 3×10–12
G: Anti-rotation core 3×8–10/side
Rest: 2–3 min big lifts; 60–90" accessories.</t>
        </is>
      </c>
      <c r="H18" s="2" t="n"/>
      <c r="I18" s="2" t="inlineStr">
        <is>
          <t>3000 kcal | 170P 400C 80F  (meals sum: 3000 kcal | 170P 400C 80F)</t>
        </is>
      </c>
      <c r="J18" s="2" t="inlineStr">
        <is>
          <t>0P 25C 0F</t>
        </is>
      </c>
      <c r="K18" s="2" t="inlineStr">
        <is>
          <t>0P 0C 0F</t>
        </is>
      </c>
      <c r="L18" s="2" t="inlineStr">
        <is>
          <t>48P 126C 15F</t>
        </is>
      </c>
      <c r="M18" s="2" t="inlineStr">
        <is>
          <t>40P 108C 26F</t>
        </is>
      </c>
      <c r="N18" s="2" t="inlineStr">
        <is>
          <t>25P 45C 10F</t>
        </is>
      </c>
      <c r="O18" s="2" t="inlineStr">
        <is>
          <t>37P 81C 24F</t>
        </is>
      </c>
      <c r="P18" s="2" t="inlineStr">
        <is>
          <t>20P 15C 5F</t>
        </is>
      </c>
      <c r="Q18" s="2" t="inlineStr">
        <is>
          <t>• Daily base: Creatine 5g AM; Omega-3 (2g EPA/DHA) with meal; Vitamin D3 2000 IU (winter) unless already; Magnesium glycinate 300–400mg PM; Glycine 3g + Taurine 1–2g + Inositol 2g + L-theanine 200mg PM.
• Beta-alanine: 3.2g/day split 1.6g AM + 1.6g PM (8–10 wk load).
• Optional: Caffeine 100–200mg 30–45' pre (only if sleep stable; pair with 100mg theanine).
• Optional: Tongkat Ali 200–400mg AM (cycle 5 days on / weekend off).</t>
        </is>
      </c>
      <c r="R18" s="2" t="inlineStr">
        <is>
          <t>After strength: massage gun glute/hamstring 6–8 min + light hip flexor stretch. Flexbeam 10 min if sore.</t>
        </is>
      </c>
      <c r="S18" s="2" t="n"/>
      <c r="T18" s="2" t="n"/>
      <c r="U18" s="2" t="n"/>
      <c r="V18" s="2" t="n">
        <v>73</v>
      </c>
      <c r="W18" s="2" t="n">
        <v>0</v>
      </c>
      <c r="X18" s="2" t="n">
        <v>75</v>
      </c>
      <c r="Y18" s="2" t="n">
        <v>130</v>
      </c>
      <c r="Z18" s="2" t="n">
        <v>0</v>
      </c>
      <c r="AA18" s="2" t="n">
        <v>858</v>
      </c>
      <c r="AB18" s="2" t="n">
        <v>563</v>
      </c>
      <c r="AC18" s="2" t="n">
        <v>1421</v>
      </c>
    </row>
    <row r="19">
      <c r="A19" s="2" t="inlineStr">
        <is>
          <t>2026-02-19</t>
        </is>
      </c>
      <c r="B19" s="2" t="n">
        <v>3</v>
      </c>
      <c r="C19" s="2" t="inlineStr">
        <is>
          <t>BUILD</t>
        </is>
      </c>
      <c r="D19" s="2" t="inlineStr">
        <is>
          <t>Thursday</t>
        </is>
      </c>
      <c r="E19" s="2" t="inlineStr">
        <is>
          <t>Warm-up:
• 10 min @ 65–70% FTP
• 3×1 min @ 105% FTP (1 min @ 60% FTP between)
Main set:
• 2×25 min @ 277–290W (~88–92% FTP)
  – Recovery: 5 min @ 60% FTP
Cooldown:
• 10 min @ 60–65% FTP</t>
        </is>
      </c>
      <c r="F19" s="2" t="n"/>
      <c r="G19" s="2" t="n"/>
      <c r="H19" s="2" t="inlineStr">
        <is>
          <t>Bike: 60–70 g/h. 500–750 ml/h.</t>
        </is>
      </c>
      <c r="I19" s="2" t="inlineStr">
        <is>
          <t>3100 kcal | 160P 458C 70F  (meals sum: 3102 kcal | 160P 458C 70F)</t>
        </is>
      </c>
      <c r="J19" s="2" t="inlineStr">
        <is>
          <t>0P 30C 0F</t>
        </is>
      </c>
      <c r="K19" s="2" t="inlineStr">
        <is>
          <t>0P 60C 0F</t>
        </is>
      </c>
      <c r="L19" s="2" t="inlineStr">
        <is>
          <t>42P 94C 15F</t>
        </is>
      </c>
      <c r="M19" s="2" t="inlineStr">
        <is>
          <t>40P 112C 20F</t>
        </is>
      </c>
      <c r="N19" s="2" t="inlineStr">
        <is>
          <t>25P 60C 10F</t>
        </is>
      </c>
      <c r="O19" s="2" t="inlineStr">
        <is>
          <t>33P 92C 20F</t>
        </is>
      </c>
      <c r="P19" s="2" t="inlineStr">
        <is>
          <t>20P 10C 5F</t>
        </is>
      </c>
      <c r="Q19" s="2" t="inlineStr">
        <is>
          <t>• Daily base: Creatine 5g AM; Omega-3 (2g EPA/DHA) with meal; Vitamin D3 2000 IU (winter) unless already; Magnesium glycinate 300–400mg PM; Glycine 3g + Taurine 1–2g + Inositol 2g + L-theanine 200mg PM.
• Beta-alanine: 3.2g/day split 1.6g AM + 1.6g PM (8–10 wk load).
• Optional: Caffeine 100–200mg 30–45' pre (only if sleep stable; pair with 100mg theanine).
• Optional: Tongkat Ali 200–400mg AM (cycle 5 days on / weekend off).</t>
        </is>
      </c>
      <c r="R19" s="2" t="inlineStr">
        <is>
          <t>After ride: 10 min easy + couch stretch 2×45s/side + thoracic mobility. Flexbeam 10–15 min.</t>
        </is>
      </c>
      <c r="S19" s="2" t="inlineStr">
        <is>
          <t>2×20 min.</t>
        </is>
      </c>
      <c r="T19" s="2" t="inlineStr">
        <is>
          <t>2×27–28 min.</t>
        </is>
      </c>
      <c r="U19" s="2" t="n"/>
      <c r="V19" s="2" t="n">
        <v>80</v>
      </c>
      <c r="W19" s="2" t="n">
        <v>0</v>
      </c>
      <c r="X19" s="2" t="n">
        <v>0</v>
      </c>
      <c r="Y19" s="2" t="n">
        <v>80</v>
      </c>
      <c r="Z19" s="2" t="n">
        <v>1092</v>
      </c>
      <c r="AA19" s="2" t="n">
        <v>0</v>
      </c>
      <c r="AB19" s="2" t="n">
        <v>0</v>
      </c>
      <c r="AC19" s="2" t="n">
        <v>1092</v>
      </c>
    </row>
    <row r="20">
      <c r="A20" s="2" t="inlineStr">
        <is>
          <t>2026-02-20</t>
        </is>
      </c>
      <c r="B20" s="2" t="n">
        <v>3</v>
      </c>
      <c r="C20" s="2" t="inlineStr">
        <is>
          <t>BUILD</t>
        </is>
      </c>
      <c r="D20" s="2" t="inlineStr">
        <is>
          <t>Friday</t>
        </is>
      </c>
      <c r="E20" s="2" t="inlineStr">
        <is>
          <t>53min Z2 (run replacement)</t>
        </is>
      </c>
      <c r="F20" s="2" t="inlineStr">
        <is>
          <t>Replaced with Z2 bike</t>
        </is>
      </c>
      <c r="G20" s="2" t="inlineStr">
        <is>
          <t>Full-body (Hypertrophy bias, 60–75 min):
A: Front-foot elevated split squat 3×10/leg @ RPE 7–8
B: RDL (DB or bar) 3×8 @ RPE 7–8
C: Hip thrust 3×10 @ RPE 7–8
D: Incline DB press 4×8–12 @ RPE 7–8
E: Lat pulldown or pull-ups 4×8–12
F: Seated cable row 3×10–12
G: Calf raise 3×12–15
H: Core (dead bug / side plank) 2–3 sets
Progression: add reps until top of range, then +2–5% load.</t>
        </is>
      </c>
      <c r="H20" s="2" t="n"/>
      <c r="I20" s="2" t="inlineStr">
        <is>
          <t>3000 kcal | 170P 400C 80F  (meals sum: 3000 kcal | 170P 400C 80F)</t>
        </is>
      </c>
      <c r="J20" s="2" t="inlineStr">
        <is>
          <t>0P 25C 0F</t>
        </is>
      </c>
      <c r="K20" s="2" t="inlineStr">
        <is>
          <t>0P 0C 0F</t>
        </is>
      </c>
      <c r="L20" s="2" t="inlineStr">
        <is>
          <t>48P 126C 15F</t>
        </is>
      </c>
      <c r="M20" s="2" t="inlineStr">
        <is>
          <t>40P 108C 26F</t>
        </is>
      </c>
      <c r="N20" s="2" t="inlineStr">
        <is>
          <t>25P 45C 10F</t>
        </is>
      </c>
      <c r="O20" s="2" t="inlineStr">
        <is>
          <t>37P 81C 24F</t>
        </is>
      </c>
      <c r="P20" s="2" t="inlineStr">
        <is>
          <t>20P 15C 5F</t>
        </is>
      </c>
      <c r="Q20" s="2" t="inlineStr">
        <is>
          <t>• Daily base: Creatine 5g AM; Omega-3 (2g EPA/DHA) with meal; Vitamin D3 2000 IU (winter) unless already; Magnesium glycinate 300–400mg PM; Glycine 3g + Taurine 1–2g + Inositol 2g + L-theanine 200mg PM.
• Beta-alanine: 3.2g/day split 1.6g AM + 1.6g PM (8–10 wk load).
• Optional: Caffeine 100–200mg 30–45' pre (only if sleep stable; pair with 100mg theanine).
• Optional: Tongkat Ali 200–400mg AM (cycle 5 days on / weekend off).</t>
        </is>
      </c>
      <c r="R20" s="2" t="inlineStr">
        <is>
          <t>Foam roll light 6–8 min + 8–12 min downshift (NSDR or box breathing).</t>
        </is>
      </c>
      <c r="S20" s="2" t="n"/>
      <c r="T20" s="2" t="n"/>
      <c r="U20" s="2" t="n"/>
      <c r="V20" s="2" t="n">
        <v>53</v>
      </c>
      <c r="W20" s="2" t="n">
        <v>0</v>
      </c>
      <c r="X20" s="2" t="n">
        <v>75</v>
      </c>
      <c r="Y20" s="2" t="n">
        <v>115</v>
      </c>
      <c r="Z20" s="2" t="n">
        <v>0</v>
      </c>
      <c r="AA20" s="2" t="n">
        <v>624</v>
      </c>
      <c r="AB20" s="2" t="n">
        <v>563</v>
      </c>
      <c r="AC20" s="2" t="n">
        <v>1187</v>
      </c>
    </row>
    <row r="21">
      <c r="A21" s="2" t="inlineStr">
        <is>
          <t>2026-02-21</t>
        </is>
      </c>
      <c r="B21" s="2" t="n">
        <v>3</v>
      </c>
      <c r="C21" s="2" t="inlineStr">
        <is>
          <t>BUILD</t>
        </is>
      </c>
      <c r="D21" s="2" t="inlineStr">
        <is>
          <t>Saturday</t>
        </is>
      </c>
      <c r="E21" s="2" t="inlineStr">
        <is>
          <t>Long ride 4.0h. HR cap ≤78% HRmax. Power cap ≤270W (≤86% FTP). Include 9×10 min LT1 (target HR 122; reduce power if HR stays &gt;127 for 2+ min). Recoveries 2–3 min easy spin (use for fueling/drinking).</t>
        </is>
      </c>
      <c r="F21" s="2" t="n"/>
      <c r="G21" s="2" t="n"/>
      <c r="H21" s="2" t="inlineStr">
        <is>
          <t>Long: 80–90 g/h. Sodium 700–1000 mg/h. Start fueling at 15'.</t>
        </is>
      </c>
      <c r="I21" s="2" t="inlineStr">
        <is>
          <t>4000 kcal | 160P 660C 80F  (meals sum: 4000 kcal | 160P 660C 80F)</t>
        </is>
      </c>
      <c r="J21" s="2" t="inlineStr">
        <is>
          <t>0P 30C 0F</t>
        </is>
      </c>
      <c r="K21" s="2" t="inlineStr">
        <is>
          <t>0P 340C 0F</t>
        </is>
      </c>
      <c r="L21" s="2" t="inlineStr">
        <is>
          <t>42P 70C 15F</t>
        </is>
      </c>
      <c r="M21" s="2" t="inlineStr">
        <is>
          <t>40P 78C 26F</t>
        </is>
      </c>
      <c r="N21" s="2" t="inlineStr">
        <is>
          <t>25P 60C 10F</t>
        </is>
      </c>
      <c r="O21" s="2" t="inlineStr">
        <is>
          <t>33P 72C 24F</t>
        </is>
      </c>
      <c r="P21" s="2" t="inlineStr">
        <is>
          <t>20P 10C 5F</t>
        </is>
      </c>
      <c r="Q21" s="2" t="inlineStr">
        <is>
          <t>• Daily base: Creatine 5g AM; Omega-3 (2g EPA/DHA) with meal; Vitamin D3 2000 IU (winter) unless already; Magnesium glycinate 300–400mg PM; Glycine 3g + Taurine 1–2g + Inositol 2g + L-theanine 200mg PM.
• Beta-alanine: 3.2g/day split 1.6g AM + 1.6g PM (8–10 wk load).
• Optional: Caffeine 100–200mg 30–45' pre (only if sleep stable; pair with 100mg theanine).
• Optional: Tongkat Ali 200–400mg AM (cycle 5 days on / weekend off).</t>
        </is>
      </c>
      <c r="R21" s="2" t="inlineStr">
        <is>
          <t>After long ride: 10–15 min walk + legs up the wall 5 min. No deep stretching. Flexbeam optional 10 min if knee/hamstring niggles.</t>
        </is>
      </c>
      <c r="S21" s="2" t="inlineStr">
        <is>
          <t>Cut duration by 30–45 min.</t>
        </is>
      </c>
      <c r="T21" s="2" t="inlineStr">
        <is>
          <t>Add 15–20 min (outdoors) OR add 20 min upper Z2 late.</t>
        </is>
      </c>
      <c r="U21" s="2" t="inlineStr">
        <is>
          <t>Winter options: If icy/dark, do indoor split (AM+PM) OR 2–3h XC ski (Z2) + 60–90 min easy trainer later. Keep fueling totals.</t>
        </is>
      </c>
      <c r="V21" s="2" t="n">
        <v>240</v>
      </c>
      <c r="W21" s="2" t="n">
        <v>0</v>
      </c>
      <c r="X21" s="2" t="n">
        <v>0</v>
      </c>
      <c r="Y21" s="2" t="n">
        <v>240</v>
      </c>
      <c r="Z21" s="2" t="n">
        <v>2621</v>
      </c>
      <c r="AA21" s="2" t="n">
        <v>0</v>
      </c>
      <c r="AB21" s="2" t="n">
        <v>0</v>
      </c>
      <c r="AC21" s="2" t="n">
        <v>2621</v>
      </c>
    </row>
    <row r="22">
      <c r="A22" s="2" t="inlineStr">
        <is>
          <t>2026-02-22</t>
        </is>
      </c>
      <c r="B22" s="2" t="n">
        <v>3</v>
      </c>
      <c r="C22" s="2" t="inlineStr">
        <is>
          <t>BUILD</t>
        </is>
      </c>
      <c r="D22" s="2" t="inlineStr">
        <is>
          <t>Sunday</t>
        </is>
      </c>
      <c r="E22" s="2" t="n"/>
      <c r="F22" s="2" t="n"/>
      <c r="G22" s="2" t="n"/>
      <c r="H22" s="2" t="n"/>
      <c r="I22" s="2" t="inlineStr">
        <is>
          <t>2500 kcal | 160P 262C 90F  (meals sum: 2498 kcal | 160P 262C 90F)</t>
        </is>
      </c>
      <c r="J22" s="2" t="inlineStr">
        <is>
          <t>0P 0C 0F</t>
        </is>
      </c>
      <c r="K22" s="2" t="inlineStr">
        <is>
          <t>0P 0C 0F</t>
        </is>
      </c>
      <c r="L22" s="2" t="inlineStr">
        <is>
          <t>42P 75C 15F</t>
        </is>
      </c>
      <c r="M22" s="2" t="inlineStr">
        <is>
          <t>40P 69C 31F</t>
        </is>
      </c>
      <c r="N22" s="2" t="inlineStr">
        <is>
          <t>25P 45C 10F</t>
        </is>
      </c>
      <c r="O22" s="2" t="inlineStr">
        <is>
          <t>33P 58C 29F</t>
        </is>
      </c>
      <c r="P22" s="2" t="inlineStr">
        <is>
          <t>20P 15C 5F</t>
        </is>
      </c>
      <c r="Q22" s="2" t="inlineStr">
        <is>
          <t>• Daily base: Creatine 5g AM; Omega-3 (2g EPA/DHA) with meal; Vitamin D3 2000 IU (winter) unless already; Magnesium glycinate 300–400mg PM; Glycine 3g + Taurine 1–2g + Inositol 2g + L-theanine 200mg PM.
• Beta-alanine: 3.2g/day split 1.6g AM + 1.6g PM (8–10 wk load).
• Optional: Caffeine 100–200mg 30–45' pre (only if sleep stable; pair with 100mg theanine).
• Optional: Tongkat Ali 200–400mg AM (cycle 5 days on / weekend off).</t>
        </is>
      </c>
      <c r="R22" s="2" t="inlineStr">
        <is>
          <t>Full rest. 20–30 min easy walk + 10 min mobility if you feel stiff. Limit screen stress at night.</t>
        </is>
      </c>
      <c r="S22" s="2" t="n"/>
      <c r="T22" s="2" t="n"/>
      <c r="U22" s="2" t="n"/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</row>
    <row r="23">
      <c r="A23" s="2" t="inlineStr">
        <is>
          <t>2026-02-23</t>
        </is>
      </c>
      <c r="B23" s="2" t="n">
        <v>4</v>
      </c>
      <c r="C23" s="2" t="inlineStr">
        <is>
          <t>DELOAD</t>
        </is>
      </c>
      <c r="D23" s="2" t="inlineStr">
        <is>
          <t>Monday</t>
        </is>
      </c>
      <c r="E23" s="2" t="inlineStr">
        <is>
          <t>Warm-up:
• 10 min @ 65–70% FTP
• 3×1 min @ 105% FTP (1 min @ 60% FTP between)
Main set:
• 2×10 min @ 299–309W (~95–98% FTP)
  – Recovery: 5 min @ 60% FTP
Cooldown:
• 10 min @ 60–65% FTP + 36min Z2 (run replacement)</t>
        </is>
      </c>
      <c r="F23" s="2" t="inlineStr">
        <is>
          <t>Replaced with Z2 bike</t>
        </is>
      </c>
      <c r="G23" s="2" t="inlineStr">
        <is>
          <t>Upper body + core (optional 45–60 min):
A: Bench or OHP 4×6 @ RPE 7
B: Pull-ups or pulldown 4×6–10
C: DB row 3×10
D: Lateral raise 3×12–15
E: Triceps + biceps 2–3×10–15
F: Core: Pallof press 3×10/side + plank 2×45–60s
Keep this away from failure.
Added (moderate load, post-bike):
• Bulgarian Split Squat or Step-Up
  3×6–8 / leg @ RIR 2–3
  Controlled eccentric, no grind</t>
        </is>
      </c>
      <c r="H23" s="2" t="inlineStr">
        <is>
          <t>Bike: 60–80 g/h (mix glucose+fructose). 500–750 ml/h + sodium 500–800 mg/h.</t>
        </is>
      </c>
      <c r="I23" s="2" t="inlineStr">
        <is>
          <t>3300 kcal | 165P 502C 70F  (meals sum: 3298 kcal | 165P 502C 70F)</t>
        </is>
      </c>
      <c r="J23" s="2" t="inlineStr">
        <is>
          <t>0P 30C 0F</t>
        </is>
      </c>
      <c r="K23" s="2" t="inlineStr">
        <is>
          <t>0P 70C 0F</t>
        </is>
      </c>
      <c r="L23" s="2" t="inlineStr">
        <is>
          <t>45P 109C 15F</t>
        </is>
      </c>
      <c r="M23" s="2" t="inlineStr">
        <is>
          <t>40P 125C 20F</t>
        </is>
      </c>
      <c r="N23" s="2" t="inlineStr">
        <is>
          <t>25P 60C 10F</t>
        </is>
      </c>
      <c r="O23" s="2" t="inlineStr">
        <is>
          <t>35P 98C 20F</t>
        </is>
      </c>
      <c r="P23" s="2" t="inlineStr">
        <is>
          <t>20P 10C 5F</t>
        </is>
      </c>
      <c r="Q23" s="2" t="inlineStr">
        <is>
          <t>• Daily base: Creatine 5g AM; Omega-3 (2g EPA/DHA) with meal; Vitamin D3 2000 IU (winter) unless already; Magnesium glycinate 300–400mg PM; Glycine 3g + Taurine 1–2g + Inositol 2g + L-theanine 200mg PM.
• Beta-alanine: 3.2g/day split 1.6g AM + 1.6g PM (8–10 wk load).
• Optional: Caffeine 100–200mg 30–45' pre (only if sleep stable; pair with 100mg theanine).
• Optional: Tongkat Ali 200–400mg AM (cycle 5 days on / weekend off).</t>
        </is>
      </c>
      <c r="R23" s="2" t="inlineStr">
        <is>
          <t>Post: 5–8 min easy spin-down + 5 min nasal breathing. Evening: Flexbeam 10–15 min + gentle hamstring nerve glide (NOT aggressive stretching).</t>
        </is>
      </c>
      <c r="S23" s="2" t="inlineStr">
        <is>
          <t>Do 2×8 min only; keep cadence 90–95rpm.</t>
        </is>
      </c>
      <c r="T23" s="2" t="inlineStr">
        <is>
          <t>Keep 2×10 min but lift target to 98–100% if stable HR.</t>
        </is>
      </c>
      <c r="U23" s="2" t="n"/>
      <c r="V23" s="2" t="n">
        <v>86</v>
      </c>
      <c r="W23" s="2" t="n">
        <v>0</v>
      </c>
      <c r="X23" s="2" t="n">
        <v>0</v>
      </c>
      <c r="Y23" s="2" t="n">
        <v>77</v>
      </c>
      <c r="Z23" s="2" t="n">
        <v>819</v>
      </c>
      <c r="AA23" s="2" t="n">
        <v>421</v>
      </c>
      <c r="AB23" s="2" t="n">
        <v>0</v>
      </c>
      <c r="AC23" s="2" t="n">
        <v>1240</v>
      </c>
    </row>
    <row r="24">
      <c r="A24" s="2" t="inlineStr">
        <is>
          <t>2026-02-24</t>
        </is>
      </c>
      <c r="B24" s="2" t="n">
        <v>4</v>
      </c>
      <c r="C24" s="2" t="inlineStr">
        <is>
          <t>DELOAD</t>
        </is>
      </c>
      <c r="D24" s="2" t="inlineStr">
        <is>
          <t>Tuesday</t>
        </is>
      </c>
      <c r="E24" s="2" t="inlineStr">
        <is>
          <t>OFF or 45–60 min Z2 @ 205–235W (65–75% FTP) (65–75% FTP).</t>
        </is>
      </c>
      <c r="F24" s="2" t="inlineStr">
        <is>
          <t>Easy 25–30 min (≤75% HRmax). Soft surface if possible.</t>
        </is>
      </c>
      <c r="G24" s="2" t="n"/>
      <c r="H24" s="2" t="n"/>
      <c r="I24" s="2" t="inlineStr">
        <is>
          <t>2800 kcal | 160P 360C 80F  (meals sum: 2800 kcal | 160P 360C 80F)</t>
        </is>
      </c>
      <c r="J24" s="2" t="inlineStr">
        <is>
          <t>0P 25C 0F</t>
        </is>
      </c>
      <c r="K24" s="2" t="inlineStr">
        <is>
          <t>0P 0C 0F</t>
        </is>
      </c>
      <c r="L24" s="2" t="inlineStr">
        <is>
          <t>42P 108C 15F</t>
        </is>
      </c>
      <c r="M24" s="2" t="inlineStr">
        <is>
          <t>40P 94C 26F</t>
        </is>
      </c>
      <c r="N24" s="2" t="inlineStr">
        <is>
          <t>25P 45C 10F</t>
        </is>
      </c>
      <c r="O24" s="2" t="inlineStr">
        <is>
          <t>33P 73C 24F</t>
        </is>
      </c>
      <c r="P24" s="2" t="inlineStr">
        <is>
          <t>20P 15C 5F</t>
        </is>
      </c>
      <c r="Q24" s="2" t="inlineStr">
        <is>
          <t>• Daily base: Creatine 5g AM; Omega-3 (2g EPA/DHA) with meal; Vitamin D3 2000 IU (winter) unless already; Magnesium glycinate 300–400mg PM; Glycine 3g + Taurine 1–2g + Inositol 2g + L-theanine 200mg PM.
• Beta-alanine: 3.2g/day split 1.6g AM + 1.6g PM (8–10 wk load).
• Optional: Caffeine 100–200mg 30–45' pre (only if sleep stable; pair with 100mg theanine).
• Optional: Tongkat Ali 200–400mg AM (cycle 5 days on / weekend off).</t>
        </is>
      </c>
      <c r="R24" s="2" t="inlineStr">
        <is>
          <t>Foam roll calves/quads 8–10 min + hip mobility 8 min. Flexbeam optional 10 min if hamstring feels tight.</t>
        </is>
      </c>
      <c r="S24" s="2" t="inlineStr">
        <is>
          <t>OFF.</t>
        </is>
      </c>
      <c r="T24" s="2" t="inlineStr">
        <is>
          <t>Add 10 min easy if time.</t>
        </is>
      </c>
      <c r="U24" s="2" t="n"/>
      <c r="V24" s="2" t="n">
        <v>0</v>
      </c>
      <c r="W24" s="2" t="n">
        <v>0</v>
      </c>
      <c r="X24" s="2" t="n">
        <v>50</v>
      </c>
      <c r="Y24" s="2" t="n">
        <v>50</v>
      </c>
      <c r="Z24" s="2" t="n">
        <v>0</v>
      </c>
      <c r="AA24" s="2" t="n">
        <v>0</v>
      </c>
      <c r="AB24" s="2" t="n">
        <v>375</v>
      </c>
      <c r="AC24" s="2" t="n">
        <v>375</v>
      </c>
    </row>
    <row r="25">
      <c r="A25" s="2" t="inlineStr">
        <is>
          <t>2026-02-25</t>
        </is>
      </c>
      <c r="B25" s="2" t="n">
        <v>4</v>
      </c>
      <c r="C25" s="2" t="inlineStr">
        <is>
          <t>DELOAD</t>
        </is>
      </c>
      <c r="D25" s="2" t="inlineStr">
        <is>
          <t>Wednesday</t>
        </is>
      </c>
      <c r="E25" s="2" t="inlineStr">
        <is>
          <t>53min Z2 (run replacement)</t>
        </is>
      </c>
      <c r="F25" s="2" t="inlineStr">
        <is>
          <t>Replaced with Z2 bike</t>
        </is>
      </c>
      <c r="G25" s="2" t="inlineStr">
        <is>
          <t>Full-body (Deload, RPE 6–7):
A1: Trap bar DL 3×4 @ ~70% e1RM (RIR 3)
A2: Bench press 3×5 @ RPE 7
B1: Split squat 2×8/leg @ RPE 7
B2: Chest-supported row 3×8 @ RPE 7
C: Hamstring slider curl 2×10 slow ecc
D: Pallof press 2×10/side
Rest: 2–3 min heavy lifts, 60–90" accessories</t>
        </is>
      </c>
      <c r="H25" s="2" t="n"/>
      <c r="I25" s="2" t="inlineStr">
        <is>
          <t>3000 kcal | 170P 400C 80F  (meals sum: 3000 kcal | 170P 400C 80F)</t>
        </is>
      </c>
      <c r="J25" s="2" t="inlineStr">
        <is>
          <t>0P 25C 0F</t>
        </is>
      </c>
      <c r="K25" s="2" t="inlineStr">
        <is>
          <t>0P 0C 0F</t>
        </is>
      </c>
      <c r="L25" s="2" t="inlineStr">
        <is>
          <t>48P 126C 15F</t>
        </is>
      </c>
      <c r="M25" s="2" t="inlineStr">
        <is>
          <t>40P 108C 26F</t>
        </is>
      </c>
      <c r="N25" s="2" t="inlineStr">
        <is>
          <t>25P 45C 10F</t>
        </is>
      </c>
      <c r="O25" s="2" t="inlineStr">
        <is>
          <t>37P 81C 24F</t>
        </is>
      </c>
      <c r="P25" s="2" t="inlineStr">
        <is>
          <t>20P 15C 5F</t>
        </is>
      </c>
      <c r="Q25" s="2" t="inlineStr">
        <is>
          <t>• Daily base: Creatine 5g AM; Omega-3 (2g EPA/DHA) with meal; Vitamin D3 2000 IU (winter) unless already; Magnesium glycinate 300–400mg PM; Glycine 3g + Taurine 1–2g + Inositol 2g + L-theanine 200mg PM.
• Beta-alanine: 3.2g/day split 1.6g AM + 1.6g PM (8–10 wk load).
• Optional: Caffeine 100–200mg 30–45' pre (only if sleep stable; pair with 100mg theanine).
• Optional: Tongkat Ali 200–400mg AM (cycle 5 days on / weekend off).</t>
        </is>
      </c>
      <c r="R25" s="2" t="inlineStr">
        <is>
          <t>After strength: massage gun glute/hamstring 6–8 min + light hip flexor stretch. Flexbeam 10 min if sore.</t>
        </is>
      </c>
      <c r="S25" s="2" t="n"/>
      <c r="T25" s="2" t="n"/>
      <c r="U25" s="2" t="n"/>
      <c r="V25" s="2" t="n">
        <v>53</v>
      </c>
      <c r="W25" s="2" t="n">
        <v>0</v>
      </c>
      <c r="X25" s="2" t="n">
        <v>50</v>
      </c>
      <c r="Y25" s="2" t="n">
        <v>90</v>
      </c>
      <c r="Z25" s="2" t="n">
        <v>0</v>
      </c>
      <c r="AA25" s="2" t="n">
        <v>624</v>
      </c>
      <c r="AB25" s="2" t="n">
        <v>375</v>
      </c>
      <c r="AC25" s="2" t="n">
        <v>999</v>
      </c>
    </row>
    <row r="26">
      <c r="A26" s="2" t="inlineStr">
        <is>
          <t>2026-02-26</t>
        </is>
      </c>
      <c r="B26" s="2" t="n">
        <v>4</v>
      </c>
      <c r="C26" s="2" t="inlineStr">
        <is>
          <t>DELOAD</t>
        </is>
      </c>
      <c r="D26" s="2" t="inlineStr">
        <is>
          <t>Thursday</t>
        </is>
      </c>
      <c r="E26" s="2" t="inlineStr">
        <is>
          <t>Warm-up:
• 10 min @ 65–70% FTP
• 3×1 min @ 105% FTP (1 min @ 60% FTP between)
Main set:
• 2×15 min @ 268–277W (~85–88% FTP)
  – Recovery: 5 min @ 60% FTP
Cooldown:
• 10 min @ 60–65% FTP</t>
        </is>
      </c>
      <c r="F26" s="2" t="n"/>
      <c r="G26" s="2" t="n"/>
      <c r="H26" s="2" t="inlineStr">
        <is>
          <t>Bike: 60–70 g/h. 500–750 ml/h.</t>
        </is>
      </c>
      <c r="I26" s="2" t="inlineStr">
        <is>
          <t>3100 kcal | 160P 458C 70F  (meals sum: 3102 kcal | 160P 458C 70F)</t>
        </is>
      </c>
      <c r="J26" s="2" t="inlineStr">
        <is>
          <t>0P 30C 0F</t>
        </is>
      </c>
      <c r="K26" s="2" t="inlineStr">
        <is>
          <t>0P 60C 0F</t>
        </is>
      </c>
      <c r="L26" s="2" t="inlineStr">
        <is>
          <t>42P 94C 15F</t>
        </is>
      </c>
      <c r="M26" s="2" t="inlineStr">
        <is>
          <t>40P 112C 20F</t>
        </is>
      </c>
      <c r="N26" s="2" t="inlineStr">
        <is>
          <t>25P 60C 10F</t>
        </is>
      </c>
      <c r="O26" s="2" t="inlineStr">
        <is>
          <t>33P 92C 20F</t>
        </is>
      </c>
      <c r="P26" s="2" t="inlineStr">
        <is>
          <t>20P 10C 5F</t>
        </is>
      </c>
      <c r="Q26" s="2" t="inlineStr">
        <is>
          <t>• Daily base: Creatine 5g AM; Omega-3 (2g EPA/DHA) with meal; Vitamin D3 2000 IU (winter) unless already; Magnesium glycinate 300–400mg PM; Glycine 3g + Taurine 1–2g + Inositol 2g + L-theanine 200mg PM.
• Beta-alanine: 3.2g/day split 1.6g AM + 1.6g PM (8–10 wk load).
• Optional: Caffeine 100–200mg 30–45' pre (only if sleep stable; pair with 100mg theanine).
• Optional: Tongkat Ali 200–400mg AM (cycle 5 days on / weekend off).</t>
        </is>
      </c>
      <c r="R26" s="2" t="inlineStr">
        <is>
          <t>After ride: 10 min easy + couch stretch 2×45s/side + thoracic mobility. Flexbeam 10–15 min.</t>
        </is>
      </c>
      <c r="S26" s="2" t="inlineStr">
        <is>
          <t>1×15 min.</t>
        </is>
      </c>
      <c r="T26" s="2" t="inlineStr">
        <is>
          <t>2×15 min @ 88%.</t>
        </is>
      </c>
      <c r="U26" s="2" t="n"/>
      <c r="V26" s="2" t="n">
        <v>65</v>
      </c>
      <c r="W26" s="2" t="n">
        <v>0</v>
      </c>
      <c r="X26" s="2" t="n">
        <v>0</v>
      </c>
      <c r="Y26" s="2" t="n">
        <v>65</v>
      </c>
      <c r="Z26" s="2" t="n">
        <v>621</v>
      </c>
      <c r="AA26" s="2" t="n">
        <v>0</v>
      </c>
      <c r="AB26" s="2" t="n">
        <v>0</v>
      </c>
      <c r="AC26" s="2" t="n">
        <v>621</v>
      </c>
    </row>
    <row r="27">
      <c r="A27" s="2" t="inlineStr">
        <is>
          <t>2026-02-27</t>
        </is>
      </c>
      <c r="B27" s="2" t="n">
        <v>4</v>
      </c>
      <c r="C27" s="2" t="inlineStr">
        <is>
          <t>DELOAD</t>
        </is>
      </c>
      <c r="D27" s="2" t="inlineStr">
        <is>
          <t>Friday</t>
        </is>
      </c>
      <c r="E27" s="2" t="inlineStr">
        <is>
          <t>40min Z2 (run replacement)</t>
        </is>
      </c>
      <c r="F27" s="2" t="inlineStr">
        <is>
          <t>Replaced with Z2 bike</t>
        </is>
      </c>
      <c r="G27" s="2" t="inlineStr">
        <is>
          <t>Full-body (Deload hypertrophy):
A: Goblet squat 2×10 @ RPE 6–7
B: RDL 2×8 @ RPE 7
C: Incline DB press 2×10 @ RPE 7
D: Lat pulldown 2×10 @ RPE 7
E: Hip thrust 2×10 @ RPE 7
F: Calves 2×12
G: Optional arms 1–2 sets
Keep it short (45–55 min).</t>
        </is>
      </c>
      <c r="H27" s="2" t="n"/>
      <c r="I27" s="2" t="inlineStr">
        <is>
          <t>3000 kcal | 170P 400C 80F  (meals sum: 3000 kcal | 170P 400C 80F)</t>
        </is>
      </c>
      <c r="J27" s="2" t="inlineStr">
        <is>
          <t>0P 25C 0F</t>
        </is>
      </c>
      <c r="K27" s="2" t="inlineStr">
        <is>
          <t>0P 0C 0F</t>
        </is>
      </c>
      <c r="L27" s="2" t="inlineStr">
        <is>
          <t>48P 126C 15F</t>
        </is>
      </c>
      <c r="M27" s="2" t="inlineStr">
        <is>
          <t>40P 108C 26F</t>
        </is>
      </c>
      <c r="N27" s="2" t="inlineStr">
        <is>
          <t>25P 45C 10F</t>
        </is>
      </c>
      <c r="O27" s="2" t="inlineStr">
        <is>
          <t>37P 81C 24F</t>
        </is>
      </c>
      <c r="P27" s="2" t="inlineStr">
        <is>
          <t>20P 15C 5F</t>
        </is>
      </c>
      <c r="Q27" s="2" t="inlineStr">
        <is>
          <t>• Daily base: Creatine 5g AM; Omega-3 (2g EPA/DHA) with meal; Vitamin D3 2000 IU (winter) unless already; Magnesium glycinate 300–400mg PM; Glycine 3g + Taurine 1–2g + Inositol 2g + L-theanine 200mg PM.
• Beta-alanine: 3.2g/day split 1.6g AM + 1.6g PM (8–10 wk load).
• Optional: Caffeine 100–200mg 30–45' pre (only if sleep stable; pair with 100mg theanine).
• Optional: Tongkat Ali 200–400mg AM (cycle 5 days on / weekend off).</t>
        </is>
      </c>
      <c r="R27" s="2" t="inlineStr">
        <is>
          <t>Foam roll light 6–8 min + 8–12 min downshift (NSDR or box breathing).</t>
        </is>
      </c>
      <c r="S27" s="2" t="n"/>
      <c r="T27" s="2" t="n"/>
      <c r="U27" s="2" t="n"/>
      <c r="V27" s="2" t="n">
        <v>40</v>
      </c>
      <c r="W27" s="2" t="n">
        <v>0</v>
      </c>
      <c r="X27" s="2" t="n">
        <v>50</v>
      </c>
      <c r="Y27" s="2" t="n">
        <v>80</v>
      </c>
      <c r="Z27" s="2" t="n">
        <v>0</v>
      </c>
      <c r="AA27" s="2" t="n">
        <v>468</v>
      </c>
      <c r="AB27" s="2" t="n">
        <v>375</v>
      </c>
      <c r="AC27" s="2" t="n">
        <v>843</v>
      </c>
    </row>
    <row r="28">
      <c r="A28" s="2" t="inlineStr">
        <is>
          <t>2026-02-28</t>
        </is>
      </c>
      <c r="B28" s="2" t="n">
        <v>4</v>
      </c>
      <c r="C28" s="2" t="inlineStr">
        <is>
          <t>DELOAD</t>
        </is>
      </c>
      <c r="D28" s="2" t="inlineStr">
        <is>
          <t>Saturday</t>
        </is>
      </c>
      <c r="E28" s="2" t="inlineStr">
        <is>
          <t>Long ride 3.0h. HR cap ≤78% HRmax. Power cap ≤270W (≤86% FTP). Include 10×10 min LT1 (target HR 122; reduce power if HR stays &gt;127 for 2+ min). Recoveries 2–3 min easy spin (use for fueling/drinking).</t>
        </is>
      </c>
      <c r="F28" s="2" t="n"/>
      <c r="G28" s="2" t="n"/>
      <c r="H28" s="2" t="inlineStr">
        <is>
          <t>Long: 80–90 g/h. Sodium 700–1000 mg/h. Start fueling at 15'.</t>
        </is>
      </c>
      <c r="I28" s="2" t="inlineStr">
        <is>
          <t>4000 kcal | 160P 660C 80F  (meals sum: 4000 kcal | 160P 660C 80F)</t>
        </is>
      </c>
      <c r="J28" s="2" t="inlineStr">
        <is>
          <t>0P 30C 0F</t>
        </is>
      </c>
      <c r="K28" s="2" t="inlineStr">
        <is>
          <t>0P 255C 0F</t>
        </is>
      </c>
      <c r="L28" s="2" t="inlineStr">
        <is>
          <t>42P 108C 15F</t>
        </is>
      </c>
      <c r="M28" s="2" t="inlineStr">
        <is>
          <t>40P 108C 26F</t>
        </is>
      </c>
      <c r="N28" s="2" t="inlineStr">
        <is>
          <t>25P 60C 10F</t>
        </is>
      </c>
      <c r="O28" s="2" t="inlineStr">
        <is>
          <t>33P 89C 24F</t>
        </is>
      </c>
      <c r="P28" s="2" t="inlineStr">
        <is>
          <t>20P 10C 5F</t>
        </is>
      </c>
      <c r="Q28" s="2" t="inlineStr">
        <is>
          <t>• Daily base: Creatine 5g AM; Omega-3 (2g EPA/DHA) with meal; Vitamin D3 2000 IU (winter) unless already; Magnesium glycinate 300–400mg PM; Glycine 3g + Taurine 1–2g + Inositol 2g + L-theanine 200mg PM.
• Beta-alanine: 3.2g/day split 1.6g AM + 1.6g PM (8–10 wk load).
• Optional: Caffeine 100–200mg 30–45' pre (only if sleep stable; pair with 100mg theanine).
• Optional: Tongkat Ali 200–400mg AM (cycle 5 days on / weekend off).</t>
        </is>
      </c>
      <c r="R28" s="2" t="inlineStr">
        <is>
          <t>After long ride: 10–15 min walk + legs up the wall 5 min. No deep stretching. Flexbeam optional 10 min if knee/hamstring niggles.</t>
        </is>
      </c>
      <c r="S28" s="2" t="inlineStr">
        <is>
          <t>Cut duration by 30–45 min.</t>
        </is>
      </c>
      <c r="T28" s="2" t="inlineStr">
        <is>
          <t>Add 15–20 min (outdoors) OR add 20 min upper Z2 late.</t>
        </is>
      </c>
      <c r="U28" s="2" t="inlineStr">
        <is>
          <t>Winter options: If icy/dark, do indoor split (AM+PM) OR 2–3h XC ski (Z2) + 60–90 min easy trainer later. Keep fueling totals.</t>
        </is>
      </c>
      <c r="V28" s="2" t="n">
        <v>180</v>
      </c>
      <c r="W28" s="2" t="n">
        <v>0</v>
      </c>
      <c r="X28" s="2" t="n">
        <v>0</v>
      </c>
      <c r="Y28" s="2" t="n">
        <v>180</v>
      </c>
      <c r="Z28" s="2" t="n">
        <v>1966</v>
      </c>
      <c r="AA28" s="2" t="n">
        <v>0</v>
      </c>
      <c r="AB28" s="2" t="n">
        <v>0</v>
      </c>
      <c r="AC28" s="2" t="n">
        <v>1966</v>
      </c>
    </row>
    <row r="29">
      <c r="A29" s="2" t="inlineStr">
        <is>
          <t>2026-03-01</t>
        </is>
      </c>
      <c r="B29" s="2" t="n">
        <v>4</v>
      </c>
      <c r="C29" s="2" t="inlineStr">
        <is>
          <t>DELOAD</t>
        </is>
      </c>
      <c r="D29" s="2" t="inlineStr">
        <is>
          <t>Sunday</t>
        </is>
      </c>
      <c r="E29" s="2" t="n"/>
      <c r="F29" s="2" t="n"/>
      <c r="G29" s="2" t="n"/>
      <c r="H29" s="2" t="n"/>
      <c r="I29" s="2" t="inlineStr">
        <is>
          <t>2500 kcal | 160P 262C 90F  (meals sum: 2498 kcal | 160P 262C 90F)</t>
        </is>
      </c>
      <c r="J29" s="2" t="inlineStr">
        <is>
          <t>0P 0C 0F</t>
        </is>
      </c>
      <c r="K29" s="2" t="inlineStr">
        <is>
          <t>0P 0C 0F</t>
        </is>
      </c>
      <c r="L29" s="2" t="inlineStr">
        <is>
          <t>42P 75C 15F</t>
        </is>
      </c>
      <c r="M29" s="2" t="inlineStr">
        <is>
          <t>40P 69C 31F</t>
        </is>
      </c>
      <c r="N29" s="2" t="inlineStr">
        <is>
          <t>25P 45C 10F</t>
        </is>
      </c>
      <c r="O29" s="2" t="inlineStr">
        <is>
          <t>33P 58C 29F</t>
        </is>
      </c>
      <c r="P29" s="2" t="inlineStr">
        <is>
          <t>20P 15C 5F</t>
        </is>
      </c>
      <c r="Q29" s="2" t="inlineStr">
        <is>
          <t>• Daily base: Creatine 5g AM; Omega-3 (2g EPA/DHA) with meal; Vitamin D3 2000 IU (winter) unless already; Magnesium glycinate 300–400mg PM; Glycine 3g + Taurine 1–2g + Inositol 2g + L-theanine 200mg PM.
• Beta-alanine: 3.2g/day split 1.6g AM + 1.6g PM (8–10 wk load).
• Optional: Caffeine 100–200mg 30–45' pre (only if sleep stable; pair with 100mg theanine).
• Optional: Tongkat Ali 200–400mg AM (cycle 5 days on / weekend off).</t>
        </is>
      </c>
      <c r="R29" s="2" t="inlineStr">
        <is>
          <t>Full rest. 20–30 min easy walk + 10 min mobility if you feel stiff. Limit screen stress at night.</t>
        </is>
      </c>
      <c r="S29" s="2" t="n"/>
      <c r="T29" s="2" t="n"/>
      <c r="U29" s="2" t="n"/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</row>
    <row r="30">
      <c r="A30" s="2" t="inlineStr">
        <is>
          <t>2026-03-02</t>
        </is>
      </c>
      <c r="B30" s="2" t="n">
        <v>5</v>
      </c>
      <c r="C30" s="2" t="inlineStr">
        <is>
          <t>BUILD</t>
        </is>
      </c>
      <c r="D30" s="2" t="inlineStr">
        <is>
          <t>Monday</t>
        </is>
      </c>
      <c r="E30" s="2" t="inlineStr">
        <is>
          <t>Warm-up:
• 10 min @ 65–70% FTP
• 3×1 min @ 105% FTP (1 min @ 60% FTP between)
Main set:
• 2×18 min @ 309–315W (~98–100% FTP)
  – Recovery: 5 min @ 60% FTP
Cooldown:
• 10 min @ 60–65% FTP + 53min Z2 (run replacement)</t>
        </is>
      </c>
      <c r="F30" s="2" t="inlineStr">
        <is>
          <t>Replaced with Z2 bike</t>
        </is>
      </c>
      <c r="G30" s="2" t="inlineStr">
        <is>
          <t>Upper body + core (optional 45–60 min):
A: Bench or OHP 4×6 @ RPE 7
B: Pull-ups or pulldown 4×6–10
C: DB row 3×10
D: Lateral raise 3×12–15
E: Triceps + biceps 2–3×10–15
F: Core: Pallof press 3×10/side + plank 2×45–60s
Keep this away from failure.
Added (moderate load, post-bike):
• Bulgarian Split Squat or Step-Up
  3×6–8 / leg @ RIR 2–3
  Controlled eccentric, no grind</t>
        </is>
      </c>
      <c r="H30" s="2" t="inlineStr">
        <is>
          <t>Bike: 60–80 g/h (mix glucose+fructose). 500–750 ml/h + sodium 500–800 mg/h.</t>
        </is>
      </c>
      <c r="I30" s="2" t="inlineStr">
        <is>
          <t>3300 kcal | 165P 502C 70F  (meals sum: 3298 kcal | 165P 502C 70F)</t>
        </is>
      </c>
      <c r="J30" s="2" t="inlineStr">
        <is>
          <t>0P 30C 0F</t>
        </is>
      </c>
      <c r="K30" s="2" t="inlineStr">
        <is>
          <t>0P 70C 0F</t>
        </is>
      </c>
      <c r="L30" s="2" t="inlineStr">
        <is>
          <t>45P 109C 15F</t>
        </is>
      </c>
      <c r="M30" s="2" t="inlineStr">
        <is>
          <t>40P 125C 20F</t>
        </is>
      </c>
      <c r="N30" s="2" t="inlineStr">
        <is>
          <t>25P 60C 10F</t>
        </is>
      </c>
      <c r="O30" s="2" t="inlineStr">
        <is>
          <t>35P 98C 20F</t>
        </is>
      </c>
      <c r="P30" s="2" t="inlineStr">
        <is>
          <t>20P 10C 5F</t>
        </is>
      </c>
      <c r="Q30" s="2" t="inlineStr">
        <is>
          <t>• Daily base: Creatine 5g AM; Omega-3 (2g EPA/DHA) with meal; Vitamin D3 2000 IU (winter) unless already; Magnesium glycinate 300–400mg PM; Glycine 3g + Taurine 1–2g + Inositol 2g + L-theanine 200mg PM.
• Beta-alanine: 3.2g/day split 1.6g AM + 1.6g PM (8–10 wk load).
• Optional: Caffeine 100–200mg 30–45' pre (only if sleep stable; pair with 100mg theanine).
• Optional: Tongkat Ali 200–400mg AM (cycle 5 days on / weekend off).</t>
        </is>
      </c>
      <c r="R30" s="2" t="inlineStr">
        <is>
          <t>Post: 5–8 min easy spin-down + 5 min nasal breathing. Evening: Flexbeam 10–15 min + gentle hamstring nerve glide (NOT aggressive stretching).</t>
        </is>
      </c>
      <c r="S30" s="2" t="inlineStr">
        <is>
          <t>Do 2×15 min.</t>
        </is>
      </c>
      <c r="T30" s="2" t="inlineStr">
        <is>
          <t>2×20 min @ 98%.</t>
        </is>
      </c>
      <c r="U30" s="2" t="n"/>
      <c r="V30" s="2" t="n">
        <v>120</v>
      </c>
      <c r="W30" s="2" t="n">
        <v>0</v>
      </c>
      <c r="X30" s="2" t="n">
        <v>0</v>
      </c>
      <c r="Y30" s="2" t="n">
        <v>107</v>
      </c>
      <c r="Z30" s="2" t="n">
        <v>1097</v>
      </c>
      <c r="AA30" s="2" t="n">
        <v>624</v>
      </c>
      <c r="AB30" s="2" t="n">
        <v>0</v>
      </c>
      <c r="AC30" s="2" t="n">
        <v>1721</v>
      </c>
    </row>
    <row r="31">
      <c r="A31" s="2" t="inlineStr">
        <is>
          <t>2026-03-03</t>
        </is>
      </c>
      <c r="B31" s="2" t="n">
        <v>5</v>
      </c>
      <c r="C31" s="2" t="inlineStr">
        <is>
          <t>BUILD</t>
        </is>
      </c>
      <c r="D31" s="2" t="inlineStr">
        <is>
          <t>Tuesday</t>
        </is>
      </c>
      <c r="E31" s="2" t="inlineStr">
        <is>
          <t>OFF or 45–60 min Z2 @ 205–235W (65–75% FTP) (65–75% FTP).</t>
        </is>
      </c>
      <c r="F31" s="2" t="inlineStr">
        <is>
          <t>Easy 40 min (≤75% HRmax).</t>
        </is>
      </c>
      <c r="G31" s="2" t="n"/>
      <c r="H31" s="2" t="n"/>
      <c r="I31" s="2" t="inlineStr">
        <is>
          <t>2800 kcal | 160P 360C 80F  (meals sum: 2800 kcal | 160P 360C 80F)</t>
        </is>
      </c>
      <c r="J31" s="2" t="inlineStr">
        <is>
          <t>0P 25C 0F</t>
        </is>
      </c>
      <c r="K31" s="2" t="inlineStr">
        <is>
          <t>0P 0C 0F</t>
        </is>
      </c>
      <c r="L31" s="2" t="inlineStr">
        <is>
          <t>42P 108C 15F</t>
        </is>
      </c>
      <c r="M31" s="2" t="inlineStr">
        <is>
          <t>40P 94C 26F</t>
        </is>
      </c>
      <c r="N31" s="2" t="inlineStr">
        <is>
          <t>25P 45C 10F</t>
        </is>
      </c>
      <c r="O31" s="2" t="inlineStr">
        <is>
          <t>33P 73C 24F</t>
        </is>
      </c>
      <c r="P31" s="2" t="inlineStr">
        <is>
          <t>20P 15C 5F</t>
        </is>
      </c>
      <c r="Q31" s="2" t="inlineStr">
        <is>
          <t>• Daily base: Creatine 5g AM; Omega-3 (2g EPA/DHA) with meal; Vitamin D3 2000 IU (winter) unless already; Magnesium glycinate 300–400mg PM; Glycine 3g + Taurine 1–2g + Inositol 2g + L-theanine 200mg PM.
• Beta-alanine: 3.2g/day split 1.6g AM + 1.6g PM (8–10 wk load).
• Optional: Caffeine 100–200mg 30–45' pre (only if sleep stable; pair with 100mg theanine).
• Optional: Tongkat Ali 200–400mg AM (cycle 5 days on / weekend off).</t>
        </is>
      </c>
      <c r="R31" s="2" t="inlineStr">
        <is>
          <t>Foam roll calves/quads 8–10 min + hip mobility 8 min. Flexbeam optional 10 min if hamstring feels tight.</t>
        </is>
      </c>
      <c r="S31" s="2" t="inlineStr">
        <is>
          <t>OFF.</t>
        </is>
      </c>
      <c r="T31" s="2" t="inlineStr">
        <is>
          <t>Add 10 min easy if time.</t>
        </is>
      </c>
      <c r="U31" s="2" t="n"/>
      <c r="V31" s="2" t="n">
        <v>0</v>
      </c>
      <c r="W31" s="2" t="n">
        <v>0</v>
      </c>
      <c r="X31" s="2" t="n">
        <v>50</v>
      </c>
      <c r="Y31" s="2" t="n">
        <v>50</v>
      </c>
      <c r="Z31" s="2" t="n">
        <v>0</v>
      </c>
      <c r="AA31" s="2" t="n">
        <v>0</v>
      </c>
      <c r="AB31" s="2" t="n">
        <v>375</v>
      </c>
      <c r="AC31" s="2" t="n">
        <v>375</v>
      </c>
    </row>
    <row r="32">
      <c r="A32" s="2" t="inlineStr">
        <is>
          <t>2026-03-04</t>
        </is>
      </c>
      <c r="B32" s="2" t="n">
        <v>5</v>
      </c>
      <c r="C32" s="2" t="inlineStr">
        <is>
          <t>BUILD</t>
        </is>
      </c>
      <c r="D32" s="2" t="inlineStr">
        <is>
          <t>Wednesday</t>
        </is>
      </c>
      <c r="E32" s="2" t="inlineStr">
        <is>
          <t>80min Z2 (run replacement)</t>
        </is>
      </c>
      <c r="F32" s="2" t="inlineStr">
        <is>
          <t>Replaced with Z2 bike</t>
        </is>
      </c>
      <c r="G32" s="2" t="inlineStr">
        <is>
          <t>Full-body (Heavy bias):
A: Trap bar DL 4×4 @ RPE 8 (heavy)
Back-off: 1×8 @ -15% load
B: Bench press 4×5 @ RPE 7–8
C: Split squat 3×6–8/leg @ RPE 8
D: Chest-supported row 4×6–8 @ RPE 7–8
E: Hamstring ecc (Nordic OR slider) 3×6–10 (slow 3–4s down)
F: Calf raise 3×10–12
G: Anti-rotation core 3×8–10/side
Rest: 2–3 min big lifts; 60–90" accessories.</t>
        </is>
      </c>
      <c r="H32" s="2" t="n"/>
      <c r="I32" s="2" t="inlineStr">
        <is>
          <t>3000 kcal | 170P 400C 80F  (meals sum: 3000 kcal | 170P 400C 80F)</t>
        </is>
      </c>
      <c r="J32" s="2" t="inlineStr">
        <is>
          <t>0P 25C 0F</t>
        </is>
      </c>
      <c r="K32" s="2" t="inlineStr">
        <is>
          <t>0P 0C 0F</t>
        </is>
      </c>
      <c r="L32" s="2" t="inlineStr">
        <is>
          <t>48P 126C 15F</t>
        </is>
      </c>
      <c r="M32" s="2" t="inlineStr">
        <is>
          <t>40P 108C 26F</t>
        </is>
      </c>
      <c r="N32" s="2" t="inlineStr">
        <is>
          <t>25P 45C 10F</t>
        </is>
      </c>
      <c r="O32" s="2" t="inlineStr">
        <is>
          <t>37P 81C 24F</t>
        </is>
      </c>
      <c r="P32" s="2" t="inlineStr">
        <is>
          <t>20P 15C 5F</t>
        </is>
      </c>
      <c r="Q32" s="2" t="inlineStr">
        <is>
          <t>• Daily base: Creatine 5g AM; Omega-3 (2g EPA/DHA) with meal; Vitamin D3 2000 IU (winter) unless already; Magnesium glycinate 300–400mg PM; Glycine 3g + Taurine 1–2g + Inositol 2g + L-theanine 200mg PM.
• Beta-alanine: 3.2g/day split 1.6g AM + 1.6g PM (8–10 wk load).
• Optional: Caffeine 100–200mg 30–45' pre (only if sleep stable; pair with 100mg theanine).
• Optional: Tongkat Ali 200–400mg AM (cycle 5 days on / weekend off).</t>
        </is>
      </c>
      <c r="R32" s="2" t="inlineStr">
        <is>
          <t>After strength: massage gun glute/hamstring 6–8 min + light hip flexor stretch. Flexbeam 10 min if sore.</t>
        </is>
      </c>
      <c r="S32" s="2" t="n"/>
      <c r="T32" s="2" t="n"/>
      <c r="U32" s="2" t="n"/>
      <c r="V32" s="2" t="n">
        <v>80</v>
      </c>
      <c r="W32" s="2" t="n">
        <v>0</v>
      </c>
      <c r="X32" s="2" t="n">
        <v>75</v>
      </c>
      <c r="Y32" s="2" t="n">
        <v>135</v>
      </c>
      <c r="Z32" s="2" t="n">
        <v>0</v>
      </c>
      <c r="AA32" s="2" t="n">
        <v>936</v>
      </c>
      <c r="AB32" s="2" t="n">
        <v>563</v>
      </c>
      <c r="AC32" s="2" t="n">
        <v>1499</v>
      </c>
    </row>
    <row r="33">
      <c r="A33" s="2" t="inlineStr">
        <is>
          <t>2026-03-05</t>
        </is>
      </c>
      <c r="B33" s="2" t="n">
        <v>5</v>
      </c>
      <c r="C33" s="2" t="inlineStr">
        <is>
          <t>BUILD</t>
        </is>
      </c>
      <c r="D33" s="2" t="inlineStr">
        <is>
          <t>Thursday</t>
        </is>
      </c>
      <c r="E33" s="2" t="inlineStr">
        <is>
          <t>Warm-up:
• 10 min @ 65–70% FTP
• 3×1 min @ 105% FTP (1 min @ 60% FTP between)
Main set:
• 2×30 min @ 277–284W (~88–90% FTP)
  – Recovery: 5 min @ 60% FTP
Cooldown:
• 10 min @ 60–65% FTP</t>
        </is>
      </c>
      <c r="F33" s="2" t="n"/>
      <c r="G33" s="2" t="n"/>
      <c r="H33" s="2" t="inlineStr">
        <is>
          <t>Bike: 60–70 g/h. 500–750 ml/h.</t>
        </is>
      </c>
      <c r="I33" s="2" t="inlineStr">
        <is>
          <t>3100 kcal | 160P 458C 70F  (meals sum: 3102 kcal | 160P 458C 70F)</t>
        </is>
      </c>
      <c r="J33" s="2" t="inlineStr">
        <is>
          <t>0P 30C 0F</t>
        </is>
      </c>
      <c r="K33" s="2" t="inlineStr">
        <is>
          <t>0P 60C 0F</t>
        </is>
      </c>
      <c r="L33" s="2" t="inlineStr">
        <is>
          <t>42P 94C 15F</t>
        </is>
      </c>
      <c r="M33" s="2" t="inlineStr">
        <is>
          <t>40P 112C 20F</t>
        </is>
      </c>
      <c r="N33" s="2" t="inlineStr">
        <is>
          <t>25P 60C 10F</t>
        </is>
      </c>
      <c r="O33" s="2" t="inlineStr">
        <is>
          <t>33P 92C 20F</t>
        </is>
      </c>
      <c r="P33" s="2" t="inlineStr">
        <is>
          <t>20P 10C 5F</t>
        </is>
      </c>
      <c r="Q33" s="2" t="inlineStr">
        <is>
          <t>• Daily base: Creatine 5g AM; Omega-3 (2g EPA/DHA) with meal; Vitamin D3 2000 IU (winter) unless already; Magnesium glycinate 300–400mg PM; Glycine 3g + Taurine 1–2g + Inositol 2g + L-theanine 200mg PM.
• Beta-alanine: 3.2g/day split 1.6g AM + 1.6g PM (8–10 wk load).
• Optional: Caffeine 100–200mg 30–45' pre (only if sleep stable; pair with 100mg theanine).
• Optional: Tongkat Ali 200–400mg AM (cycle 5 days on / weekend off).</t>
        </is>
      </c>
      <c r="R33" s="2" t="inlineStr">
        <is>
          <t>After ride: 10 min easy + couch stretch 2×45s/side + thoracic mobility. Flexbeam 10–15 min.</t>
        </is>
      </c>
      <c r="S33" s="2" t="inlineStr">
        <is>
          <t>2×25 min.</t>
        </is>
      </c>
      <c r="T33" s="2" t="inlineStr">
        <is>
          <t>2×32–33 min.</t>
        </is>
      </c>
      <c r="U33" s="2" t="n"/>
      <c r="V33" s="2" t="n">
        <v>90</v>
      </c>
      <c r="W33" s="2" t="n">
        <v>0</v>
      </c>
      <c r="X33" s="2" t="n">
        <v>0</v>
      </c>
      <c r="Y33" s="2" t="n">
        <v>90</v>
      </c>
      <c r="Z33" s="2" t="n">
        <v>1228</v>
      </c>
      <c r="AA33" s="2" t="n">
        <v>0</v>
      </c>
      <c r="AB33" s="2" t="n">
        <v>0</v>
      </c>
      <c r="AC33" s="2" t="n">
        <v>1228</v>
      </c>
    </row>
    <row r="34">
      <c r="A34" s="2" t="inlineStr">
        <is>
          <t>2026-03-06</t>
        </is>
      </c>
      <c r="B34" s="2" t="n">
        <v>5</v>
      </c>
      <c r="C34" s="2" t="inlineStr">
        <is>
          <t>BUILD</t>
        </is>
      </c>
      <c r="D34" s="2" t="inlineStr">
        <is>
          <t>Friday</t>
        </is>
      </c>
      <c r="E34" s="2" t="inlineStr">
        <is>
          <t>53min Z2 (run replacement)</t>
        </is>
      </c>
      <c r="F34" s="2" t="inlineStr">
        <is>
          <t>Replaced with Z2 bike</t>
        </is>
      </c>
      <c r="G34" s="2" t="inlineStr">
        <is>
          <t>Full-body (Hypertrophy bias, 60–75 min):
A: Front-foot elevated split squat 3×10/leg @ RPE 7–8
B: RDL (DB or bar) 3×8 @ RPE 7–8
C: Hip thrust 3×10 @ RPE 7–8
D: Incline DB press 4×8–12 @ RPE 7–8
E: Lat pulldown or pull-ups 4×8–12
F: Seated cable row 3×10–12
G: Calf raise 3×12–15
H: Core (dead bug / side plank) 2–3 sets
Progression: add reps until top of range, then +2–5% load.</t>
        </is>
      </c>
      <c r="H34" s="2" t="n"/>
      <c r="I34" s="2" t="inlineStr">
        <is>
          <t>3000 kcal | 170P 400C 80F  (meals sum: 3000 kcal | 170P 400C 80F)</t>
        </is>
      </c>
      <c r="J34" s="2" t="inlineStr">
        <is>
          <t>0P 25C 0F</t>
        </is>
      </c>
      <c r="K34" s="2" t="inlineStr">
        <is>
          <t>0P 0C 0F</t>
        </is>
      </c>
      <c r="L34" s="2" t="inlineStr">
        <is>
          <t>48P 126C 15F</t>
        </is>
      </c>
      <c r="M34" s="2" t="inlineStr">
        <is>
          <t>40P 108C 26F</t>
        </is>
      </c>
      <c r="N34" s="2" t="inlineStr">
        <is>
          <t>25P 45C 10F</t>
        </is>
      </c>
      <c r="O34" s="2" t="inlineStr">
        <is>
          <t>37P 81C 24F</t>
        </is>
      </c>
      <c r="P34" s="2" t="inlineStr">
        <is>
          <t>20P 15C 5F</t>
        </is>
      </c>
      <c r="Q34" s="2" t="inlineStr">
        <is>
          <t>• Daily base: Creatine 5g AM; Omega-3 (2g EPA/DHA) with meal; Vitamin D3 2000 IU (winter) unless already; Magnesium glycinate 300–400mg PM; Glycine 3g + Taurine 1–2g + Inositol 2g + L-theanine 200mg PM.
• Beta-alanine: 3.2g/day split 1.6g AM + 1.6g PM (8–10 wk load).
• Optional: Caffeine 100–200mg 30–45' pre (only if sleep stable; pair with 100mg theanine).
• Optional: Tongkat Ali 200–400mg AM (cycle 5 days on / weekend off).</t>
        </is>
      </c>
      <c r="R34" s="2" t="inlineStr">
        <is>
          <t>Foam roll light 6–8 min + 8–12 min downshift (NSDR or box breathing).</t>
        </is>
      </c>
      <c r="S34" s="2" t="n"/>
      <c r="T34" s="2" t="n"/>
      <c r="U34" s="2" t="n"/>
      <c r="V34" s="2" t="n">
        <v>53</v>
      </c>
      <c r="W34" s="2" t="n">
        <v>0</v>
      </c>
      <c r="X34" s="2" t="n">
        <v>75</v>
      </c>
      <c r="Y34" s="2" t="n">
        <v>115</v>
      </c>
      <c r="Z34" s="2" t="n">
        <v>0</v>
      </c>
      <c r="AA34" s="2" t="n">
        <v>624</v>
      </c>
      <c r="AB34" s="2" t="n">
        <v>563</v>
      </c>
      <c r="AC34" s="2" t="n">
        <v>1187</v>
      </c>
    </row>
    <row r="35">
      <c r="A35" s="2" t="inlineStr">
        <is>
          <t>2026-03-07</t>
        </is>
      </c>
      <c r="B35" s="2" t="n">
        <v>5</v>
      </c>
      <c r="C35" s="2" t="inlineStr">
        <is>
          <t>BUILD</t>
        </is>
      </c>
      <c r="D35" s="2" t="inlineStr">
        <is>
          <t>Saturday</t>
        </is>
      </c>
      <c r="E35" s="2" t="inlineStr">
        <is>
          <t>Long ride 4.0h. HR cap ≤78% HRmax. Power cap ≤270W (≤86% FTP). Include 11×10 min LT1 (target HR 122; reduce power if HR stays &gt;127 for 2+ min). Recoveries 2–3 min easy spin (use for fueling/drinking).</t>
        </is>
      </c>
      <c r="F35" s="2" t="n"/>
      <c r="G35" s="2" t="n"/>
      <c r="H35" s="2" t="inlineStr">
        <is>
          <t>Long: 80–90 g/h. Sodium 700–1000 mg/h. Start fueling at 15'.</t>
        </is>
      </c>
      <c r="I35" s="2" t="inlineStr">
        <is>
          <t>4000 kcal | 160P 660C 80F  (meals sum: 4000 kcal | 160P 660C 80F)</t>
        </is>
      </c>
      <c r="J35" s="2" t="inlineStr">
        <is>
          <t>0P 30C 0F</t>
        </is>
      </c>
      <c r="K35" s="2" t="inlineStr">
        <is>
          <t>0P 340C 0F</t>
        </is>
      </c>
      <c r="L35" s="2" t="inlineStr">
        <is>
          <t>42P 70C 15F</t>
        </is>
      </c>
      <c r="M35" s="2" t="inlineStr">
        <is>
          <t>40P 78C 26F</t>
        </is>
      </c>
      <c r="N35" s="2" t="inlineStr">
        <is>
          <t>25P 60C 10F</t>
        </is>
      </c>
      <c r="O35" s="2" t="inlineStr">
        <is>
          <t>33P 72C 24F</t>
        </is>
      </c>
      <c r="P35" s="2" t="inlineStr">
        <is>
          <t>20P 10C 5F</t>
        </is>
      </c>
      <c r="Q35" s="2" t="inlineStr">
        <is>
          <t>• Daily base: Creatine 5g AM; Omega-3 (2g EPA/DHA) with meal; Vitamin D3 2000 IU (winter) unless already; Magnesium glycinate 300–400mg PM; Glycine 3g + Taurine 1–2g + Inositol 2g + L-theanine 200mg PM.
• Beta-alanine: 3.2g/day split 1.6g AM + 1.6g PM (8–10 wk load).
• Optional: Caffeine 100–200mg 30–45' pre (only if sleep stable; pair with 100mg theanine).
• Optional: Tongkat Ali 200–400mg AM (cycle 5 days on / weekend off).</t>
        </is>
      </c>
      <c r="R35" s="2" t="inlineStr">
        <is>
          <t>After long ride: 10–15 min walk + legs up the wall 5 min. No deep stretching. Flexbeam optional 10 min if knee/hamstring niggles.</t>
        </is>
      </c>
      <c r="S35" s="2" t="inlineStr">
        <is>
          <t>Cut duration by 30–45 min.</t>
        </is>
      </c>
      <c r="T35" s="2" t="inlineStr">
        <is>
          <t>Add 15–20 min (outdoors) OR add 20 min upper Z2 late.</t>
        </is>
      </c>
      <c r="U35" s="2" t="inlineStr">
        <is>
          <t>Winter options: If icy/dark, do indoor split (AM+PM) OR 2–3h XC ski (Z2) + 60–90 min easy trainer later. Keep fueling totals.</t>
        </is>
      </c>
      <c r="V35" s="2" t="n">
        <v>240</v>
      </c>
      <c r="W35" s="2" t="n">
        <v>0</v>
      </c>
      <c r="X35" s="2" t="n">
        <v>0</v>
      </c>
      <c r="Y35" s="2" t="n">
        <v>240</v>
      </c>
      <c r="Z35" s="2" t="n">
        <v>2621</v>
      </c>
      <c r="AA35" s="2" t="n">
        <v>0</v>
      </c>
      <c r="AB35" s="2" t="n">
        <v>0</v>
      </c>
      <c r="AC35" s="2" t="n">
        <v>2621</v>
      </c>
    </row>
    <row r="36">
      <c r="A36" s="2" t="inlineStr">
        <is>
          <t>2026-03-08</t>
        </is>
      </c>
      <c r="B36" s="2" t="n">
        <v>5</v>
      </c>
      <c r="C36" s="2" t="inlineStr">
        <is>
          <t>BUILD</t>
        </is>
      </c>
      <c r="D36" s="2" t="inlineStr">
        <is>
          <t>Sunday</t>
        </is>
      </c>
      <c r="E36" s="2" t="n"/>
      <c r="F36" s="2" t="n"/>
      <c r="G36" s="2" t="n"/>
      <c r="H36" s="2" t="n"/>
      <c r="I36" s="2" t="inlineStr">
        <is>
          <t>2500 kcal | 160P 262C 90F  (meals sum: 2498 kcal | 160P 262C 90F)</t>
        </is>
      </c>
      <c r="J36" s="2" t="inlineStr">
        <is>
          <t>0P 0C 0F</t>
        </is>
      </c>
      <c r="K36" s="2" t="inlineStr">
        <is>
          <t>0P 0C 0F</t>
        </is>
      </c>
      <c r="L36" s="2" t="inlineStr">
        <is>
          <t>42P 75C 15F</t>
        </is>
      </c>
      <c r="M36" s="2" t="inlineStr">
        <is>
          <t>40P 69C 31F</t>
        </is>
      </c>
      <c r="N36" s="2" t="inlineStr">
        <is>
          <t>25P 45C 10F</t>
        </is>
      </c>
      <c r="O36" s="2" t="inlineStr">
        <is>
          <t>33P 58C 29F</t>
        </is>
      </c>
      <c r="P36" s="2" t="inlineStr">
        <is>
          <t>20P 15C 5F</t>
        </is>
      </c>
      <c r="Q36" s="2" t="inlineStr">
        <is>
          <t>• Daily base: Creatine 5g AM; Omega-3 (2g EPA/DHA) with meal; Vitamin D3 2000 IU (winter) unless already; Magnesium glycinate 300–400mg PM; Glycine 3g + Taurine 1–2g + Inositol 2g + L-theanine 200mg PM.
• Beta-alanine: 3.2g/day split 1.6g AM + 1.6g PM (8–10 wk load).
• Optional: Caffeine 100–200mg 30–45' pre (only if sleep stable; pair with 100mg theanine).
• Optional: Tongkat Ali 200–400mg AM (cycle 5 days on / weekend off).</t>
        </is>
      </c>
      <c r="R36" s="2" t="inlineStr">
        <is>
          <t>Full rest. 20–30 min easy walk + 10 min mobility if you feel stiff. Limit screen stress at night.</t>
        </is>
      </c>
      <c r="S36" s="2" t="n"/>
      <c r="T36" s="2" t="n"/>
      <c r="U36" s="2" t="n"/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</row>
    <row r="37">
      <c r="A37" s="2" t="inlineStr">
        <is>
          <t>2026-03-09</t>
        </is>
      </c>
      <c r="B37" s="2" t="n">
        <v>6</v>
      </c>
      <c r="C37" s="2" t="inlineStr">
        <is>
          <t>BUILD</t>
        </is>
      </c>
      <c r="D37" s="2" t="inlineStr">
        <is>
          <t>Monday</t>
        </is>
      </c>
      <c r="E37" s="2" t="inlineStr">
        <is>
          <t>Warm-up:
• 10 min @ 65–70% FTP
• 3×1 min @ 105% FTP (1 min @ 60% FTP between)
Main set:
• 2×20 min @ 309–315W (~98–100% FTP)
  – Recovery: 5 min @ 60% FTP
Cooldown:
• 10 min @ 60–65% FTP + 53min Z2 (run replacement)</t>
        </is>
      </c>
      <c r="F37" s="2" t="inlineStr">
        <is>
          <t>Replaced with Z2 bike</t>
        </is>
      </c>
      <c r="G37" s="2" t="inlineStr">
        <is>
          <t>Upper body + core (optional 45–60 min):
A: Bench or OHP 4×6 @ RPE 7
B: Pull-ups or pulldown 4×6–10
C: DB row 3×10
D: Lateral raise 3×12–15
E: Triceps + biceps 2–3×10–15
F: Core: Pallof press 3×10/side + plank 2×45–60s
Keep this away from failure.
Added (moderate load, post-bike):
• Bulgarian Split Squat or Step-Up
  3×6–8 / leg @ RIR 2–3
  Controlled eccentric, no grind</t>
        </is>
      </c>
      <c r="H37" s="2" t="inlineStr">
        <is>
          <t>Bike: 60–80 g/h (mix glucose+fructose). 500–750 ml/h + sodium 500–800 mg/h.</t>
        </is>
      </c>
      <c r="I37" s="2" t="inlineStr">
        <is>
          <t>3300 kcal | 165P 502C 70F  (meals sum: 3298 kcal | 165P 502C 70F)</t>
        </is>
      </c>
      <c r="J37" s="2" t="inlineStr">
        <is>
          <t>0P 30C 0F</t>
        </is>
      </c>
      <c r="K37" s="2" t="inlineStr">
        <is>
          <t>0P 70C 0F</t>
        </is>
      </c>
      <c r="L37" s="2" t="inlineStr">
        <is>
          <t>45P 109C 15F</t>
        </is>
      </c>
      <c r="M37" s="2" t="inlineStr">
        <is>
          <t>40P 125C 20F</t>
        </is>
      </c>
      <c r="N37" s="2" t="inlineStr">
        <is>
          <t>25P 60C 10F</t>
        </is>
      </c>
      <c r="O37" s="2" t="inlineStr">
        <is>
          <t>35P 98C 20F</t>
        </is>
      </c>
      <c r="P37" s="2" t="inlineStr">
        <is>
          <t>20P 10C 5F</t>
        </is>
      </c>
      <c r="Q37" s="2" t="inlineStr">
        <is>
          <t>• Daily base: Creatine 5g AM; Omega-3 (2g EPA/DHA) with meal; Vitamin D3 2000 IU (winter) unless already; Magnesium glycinate 300–400mg PM; Glycine 3g + Taurine 1–2g + Inositol 2g + L-theanine 200mg PM.
• Beta-alanine: 3.2g/day split 1.6g AM + 1.6g PM (8–10 wk load).
• Optional: Caffeine 100–200mg 30–45' pre (only if sleep stable; pair with 100mg theanine).
• Optional: Tongkat Ali 200–400mg AM (cycle 5 days on / weekend off).</t>
        </is>
      </c>
      <c r="R37" s="2" t="inlineStr">
        <is>
          <t>Post: 5–8 min easy spin-down + 5 min nasal breathing. Evening: Flexbeam 10–15 min + gentle hamstring nerve glide (NOT aggressive stretching).</t>
        </is>
      </c>
      <c r="S37" s="2" t="inlineStr">
        <is>
          <t>2×16–18 min.</t>
        </is>
      </c>
      <c r="T37" s="2" t="inlineStr">
        <is>
          <t>Hold 100% for last 5 min each rep.</t>
        </is>
      </c>
      <c r="U37" s="2" t="n"/>
      <c r="V37" s="2" t="n">
        <v>124</v>
      </c>
      <c r="W37" s="2" t="n">
        <v>0</v>
      </c>
      <c r="X37" s="2" t="n">
        <v>0</v>
      </c>
      <c r="Y37" s="2" t="n">
        <v>111</v>
      </c>
      <c r="Z37" s="2" t="n">
        <v>1163</v>
      </c>
      <c r="AA37" s="2" t="n">
        <v>624</v>
      </c>
      <c r="AB37" s="2" t="n">
        <v>0</v>
      </c>
      <c r="AC37" s="2" t="n">
        <v>1787</v>
      </c>
    </row>
    <row r="38">
      <c r="A38" s="2" t="inlineStr">
        <is>
          <t>2026-03-10</t>
        </is>
      </c>
      <c r="B38" s="2" t="n">
        <v>6</v>
      </c>
      <c r="C38" s="2" t="inlineStr">
        <is>
          <t>BUILD</t>
        </is>
      </c>
      <c r="D38" s="2" t="inlineStr">
        <is>
          <t>Tuesday</t>
        </is>
      </c>
      <c r="E38" s="2" t="inlineStr">
        <is>
          <t>OFF or 45–60 min Z2 @ 205–235W (65–75% FTP) (65–75% FTP).</t>
        </is>
      </c>
      <c r="F38" s="2" t="inlineStr">
        <is>
          <t>Easy 40 min (≤75% HRmax).</t>
        </is>
      </c>
      <c r="G38" s="2" t="n"/>
      <c r="H38" s="2" t="n"/>
      <c r="I38" s="2" t="inlineStr">
        <is>
          <t>2800 kcal | 160P 360C 80F  (meals sum: 2800 kcal | 160P 360C 80F)</t>
        </is>
      </c>
      <c r="J38" s="2" t="inlineStr">
        <is>
          <t>0P 25C 0F</t>
        </is>
      </c>
      <c r="K38" s="2" t="inlineStr">
        <is>
          <t>0P 0C 0F</t>
        </is>
      </c>
      <c r="L38" s="2" t="inlineStr">
        <is>
          <t>42P 108C 15F</t>
        </is>
      </c>
      <c r="M38" s="2" t="inlineStr">
        <is>
          <t>40P 94C 26F</t>
        </is>
      </c>
      <c r="N38" s="2" t="inlineStr">
        <is>
          <t>25P 45C 10F</t>
        </is>
      </c>
      <c r="O38" s="2" t="inlineStr">
        <is>
          <t>33P 73C 24F</t>
        </is>
      </c>
      <c r="P38" s="2" t="inlineStr">
        <is>
          <t>20P 15C 5F</t>
        </is>
      </c>
      <c r="Q38" s="2" t="inlineStr">
        <is>
          <t>• Daily base: Creatine 5g AM; Omega-3 (2g EPA/DHA) with meal; Vitamin D3 2000 IU (winter) unless already; Magnesium glycinate 300–400mg PM; Glycine 3g + Taurine 1–2g + Inositol 2g + L-theanine 200mg PM.
• Beta-alanine: 3.2g/day split 1.6g AM + 1.6g PM (8–10 wk load).
• Optional: Caffeine 100–200mg 30–45' pre (only if sleep stable; pair with 100mg theanine).
• Optional: Tongkat Ali 200–400mg AM (cycle 5 days on / weekend off).</t>
        </is>
      </c>
      <c r="R38" s="2" t="inlineStr">
        <is>
          <t>Foam roll calves/quads 8–10 min + hip mobility 8 min. Flexbeam optional 10 min if hamstring feels tight.</t>
        </is>
      </c>
      <c r="S38" s="2" t="inlineStr">
        <is>
          <t>OFF.</t>
        </is>
      </c>
      <c r="T38" s="2" t="inlineStr">
        <is>
          <t>Add 10 min easy if time.</t>
        </is>
      </c>
      <c r="U38" s="2" t="n"/>
      <c r="V38" s="2" t="n">
        <v>0</v>
      </c>
      <c r="W38" s="2" t="n">
        <v>0</v>
      </c>
      <c r="X38" s="2" t="n">
        <v>50</v>
      </c>
      <c r="Y38" s="2" t="n">
        <v>50</v>
      </c>
      <c r="Z38" s="2" t="n">
        <v>0</v>
      </c>
      <c r="AA38" s="2" t="n">
        <v>0</v>
      </c>
      <c r="AB38" s="2" t="n">
        <v>375</v>
      </c>
      <c r="AC38" s="2" t="n">
        <v>375</v>
      </c>
    </row>
    <row r="39">
      <c r="A39" s="2" t="inlineStr">
        <is>
          <t>2026-03-11</t>
        </is>
      </c>
      <c r="B39" s="2" t="n">
        <v>6</v>
      </c>
      <c r="C39" s="2" t="inlineStr">
        <is>
          <t>BUILD</t>
        </is>
      </c>
      <c r="D39" s="2" t="inlineStr">
        <is>
          <t>Wednesday</t>
        </is>
      </c>
      <c r="E39" s="2" t="inlineStr">
        <is>
          <t>80min Z2 (run replacement)</t>
        </is>
      </c>
      <c r="F39" s="2" t="inlineStr">
        <is>
          <t>Replaced with Z2 bike</t>
        </is>
      </c>
      <c r="G39" s="2" t="inlineStr">
        <is>
          <t>Full-body (Heavy bias):
A: Trap bar DL 5×3 @ RPE 8
Back-off: 1×6 @ -12%
B: Bench press 4×5 @ RPE 7–8
C: Split squat 3×6–8/leg @ RPE 8
D: Chest-supported row 4×6–8 @ RPE 7–8
E: Hamstring ecc (Nordic OR slider) 3×6–10 (slow 3–4s down)
F: Calf raise 3×10–12
G: Anti-rotation core 3×8–10/side
Rest: 2–3 min big lifts; 60–90" accessories.</t>
        </is>
      </c>
      <c r="H39" s="2" t="n"/>
      <c r="I39" s="2" t="inlineStr">
        <is>
          <t>3000 kcal | 170P 400C 80F  (meals sum: 3000 kcal | 170P 400C 80F)</t>
        </is>
      </c>
      <c r="J39" s="2" t="inlineStr">
        <is>
          <t>0P 25C 0F</t>
        </is>
      </c>
      <c r="K39" s="2" t="inlineStr">
        <is>
          <t>0P 0C 0F</t>
        </is>
      </c>
      <c r="L39" s="2" t="inlineStr">
        <is>
          <t>48P 126C 15F</t>
        </is>
      </c>
      <c r="M39" s="2" t="inlineStr">
        <is>
          <t>40P 108C 26F</t>
        </is>
      </c>
      <c r="N39" s="2" t="inlineStr">
        <is>
          <t>25P 45C 10F</t>
        </is>
      </c>
      <c r="O39" s="2" t="inlineStr">
        <is>
          <t>37P 81C 24F</t>
        </is>
      </c>
      <c r="P39" s="2" t="inlineStr">
        <is>
          <t>20P 15C 5F</t>
        </is>
      </c>
      <c r="Q39" s="2" t="inlineStr">
        <is>
          <t>• Daily base: Creatine 5g AM; Omega-3 (2g EPA/DHA) with meal; Vitamin D3 2000 IU (winter) unless already; Magnesium glycinate 300–400mg PM; Glycine 3g + Taurine 1–2g + Inositol 2g + L-theanine 200mg PM.
• Beta-alanine: 3.2g/day split 1.6g AM + 1.6g PM (8–10 wk load).
• Optional: Caffeine 100–200mg 30–45' pre (only if sleep stable; pair with 100mg theanine).
• Optional: Tongkat Ali 200–400mg AM (cycle 5 days on / weekend off).</t>
        </is>
      </c>
      <c r="R39" s="2" t="inlineStr">
        <is>
          <t>After strength: massage gun glute/hamstring 6–8 min + light hip flexor stretch. Flexbeam 10 min if sore.</t>
        </is>
      </c>
      <c r="S39" s="2" t="n"/>
      <c r="T39" s="2" t="n"/>
      <c r="U39" s="2" t="n"/>
      <c r="V39" s="2" t="n">
        <v>80</v>
      </c>
      <c r="W39" s="2" t="n">
        <v>0</v>
      </c>
      <c r="X39" s="2" t="n">
        <v>75</v>
      </c>
      <c r="Y39" s="2" t="n">
        <v>135</v>
      </c>
      <c r="Z39" s="2" t="n">
        <v>0</v>
      </c>
      <c r="AA39" s="2" t="n">
        <v>936</v>
      </c>
      <c r="AB39" s="2" t="n">
        <v>563</v>
      </c>
      <c r="AC39" s="2" t="n">
        <v>1499</v>
      </c>
    </row>
    <row r="40">
      <c r="A40" s="2" t="inlineStr">
        <is>
          <t>2026-03-12</t>
        </is>
      </c>
      <c r="B40" s="2" t="n">
        <v>6</v>
      </c>
      <c r="C40" s="2" t="inlineStr">
        <is>
          <t>BUILD</t>
        </is>
      </c>
      <c r="D40" s="2" t="inlineStr">
        <is>
          <t>Thursday</t>
        </is>
      </c>
      <c r="E40" s="2" t="inlineStr">
        <is>
          <t>Warm-up:
• 10 min @ 65–70% FTP
• 3×1 min @ 105% FTP (1 min @ 60% FTP between)
Main set:
• 3×20 min @ 284W (~90–90% FTP)
  – Recovery: 5 min @ 60% FTP
Cooldown:
• 10 min @ 60–65% FTP</t>
        </is>
      </c>
      <c r="F40" s="2" t="n"/>
      <c r="G40" s="2" t="n"/>
      <c r="H40" s="2" t="inlineStr">
        <is>
          <t>Bike: 60–70 g/h. 500–750 ml/h.</t>
        </is>
      </c>
      <c r="I40" s="2" t="inlineStr">
        <is>
          <t>3100 kcal | 160P 458C 70F  (meals sum: 3102 kcal | 160P 458C 70F)</t>
        </is>
      </c>
      <c r="J40" s="2" t="inlineStr">
        <is>
          <t>0P 30C 0F</t>
        </is>
      </c>
      <c r="K40" s="2" t="inlineStr">
        <is>
          <t>0P 60C 0F</t>
        </is>
      </c>
      <c r="L40" s="2" t="inlineStr">
        <is>
          <t>42P 94C 15F</t>
        </is>
      </c>
      <c r="M40" s="2" t="inlineStr">
        <is>
          <t>40P 112C 20F</t>
        </is>
      </c>
      <c r="N40" s="2" t="inlineStr">
        <is>
          <t>25P 60C 10F</t>
        </is>
      </c>
      <c r="O40" s="2" t="inlineStr">
        <is>
          <t>33P 92C 20F</t>
        </is>
      </c>
      <c r="P40" s="2" t="inlineStr">
        <is>
          <t>20P 10C 5F</t>
        </is>
      </c>
      <c r="Q40" s="2" t="inlineStr">
        <is>
          <t>• Daily base: Creatine 5g AM; Omega-3 (2g EPA/DHA) with meal; Vitamin D3 2000 IU (winter) unless already; Magnesium glycinate 300–400mg PM; Glycine 3g + Taurine 1–2g + Inositol 2g + L-theanine 200mg PM.
• Beta-alanine: 3.2g/day split 1.6g AM + 1.6g PM (8–10 wk load).
• Optional: Caffeine 100–200mg 30–45' pre (only if sleep stable; pair with 100mg theanine).
• Optional: Tongkat Ali 200–400mg AM (cycle 5 days on / weekend off).</t>
        </is>
      </c>
      <c r="R40" s="2" t="inlineStr">
        <is>
          <t>After ride: 10 min easy + couch stretch 2×45s/side + thoracic mobility. Flexbeam 10–15 min.</t>
        </is>
      </c>
      <c r="S40" s="2" t="inlineStr">
        <is>
          <t>2×20 min.</t>
        </is>
      </c>
      <c r="T40" s="2" t="inlineStr">
        <is>
          <t>3×22 min.</t>
        </is>
      </c>
      <c r="U40" s="2" t="n"/>
      <c r="V40" s="2" t="n">
        <v>95</v>
      </c>
      <c r="W40" s="2" t="n">
        <v>0</v>
      </c>
      <c r="X40" s="2" t="n">
        <v>0</v>
      </c>
      <c r="Y40" s="2" t="n">
        <v>95</v>
      </c>
      <c r="Z40" s="2" t="n">
        <v>1297</v>
      </c>
      <c r="AA40" s="2" t="n">
        <v>0</v>
      </c>
      <c r="AB40" s="2" t="n">
        <v>0</v>
      </c>
      <c r="AC40" s="2" t="n">
        <v>1297</v>
      </c>
    </row>
    <row r="41">
      <c r="A41" s="2" t="inlineStr">
        <is>
          <t>2026-03-13</t>
        </is>
      </c>
      <c r="B41" s="2" t="n">
        <v>6</v>
      </c>
      <c r="C41" s="2" t="inlineStr">
        <is>
          <t>BUILD</t>
        </is>
      </c>
      <c r="D41" s="2" t="inlineStr">
        <is>
          <t>Friday</t>
        </is>
      </c>
      <c r="E41" s="2" t="inlineStr">
        <is>
          <t>60min Z2 (run replacement)</t>
        </is>
      </c>
      <c r="F41" s="2" t="inlineStr">
        <is>
          <t>Replaced with Z2 bike</t>
        </is>
      </c>
      <c r="G41" s="2" t="inlineStr">
        <is>
          <t>Full-body (Hypertrophy bias, 60–75 min):
A: Front-foot elevated split squat 3×10/leg @ RPE 7–8
B: RDL (DB or bar) 3×8 @ RPE 7–8
C: Hip thrust 3×10 @ RPE 7–8
D: Incline DB press 4×8–12 @ RPE 7–8
E: Lat pulldown or pull-ups 4×8–12
F: Seated cable row 3×10–12
G: Calf raise 3×12–15
H: Core (dead bug / side plank) 2–3 sets
Progression: add reps until top of range, then +2–5% load.</t>
        </is>
      </c>
      <c r="H41" s="2" t="n"/>
      <c r="I41" s="2" t="inlineStr">
        <is>
          <t>3000 kcal | 170P 400C 80F  (meals sum: 3000 kcal | 170P 400C 80F)</t>
        </is>
      </c>
      <c r="J41" s="2" t="inlineStr">
        <is>
          <t>0P 25C 0F</t>
        </is>
      </c>
      <c r="K41" s="2" t="inlineStr">
        <is>
          <t>0P 0C 0F</t>
        </is>
      </c>
      <c r="L41" s="2" t="inlineStr">
        <is>
          <t>48P 126C 15F</t>
        </is>
      </c>
      <c r="M41" s="2" t="inlineStr">
        <is>
          <t>40P 108C 26F</t>
        </is>
      </c>
      <c r="N41" s="2" t="inlineStr">
        <is>
          <t>25P 45C 10F</t>
        </is>
      </c>
      <c r="O41" s="2" t="inlineStr">
        <is>
          <t>37P 81C 24F</t>
        </is>
      </c>
      <c r="P41" s="2" t="inlineStr">
        <is>
          <t>20P 15C 5F</t>
        </is>
      </c>
      <c r="Q41" s="2" t="inlineStr">
        <is>
          <t>• Daily base: Creatine 5g AM; Omega-3 (2g EPA/DHA) with meal; Vitamin D3 2000 IU (winter) unless already; Magnesium glycinate 300–400mg PM; Glycine 3g + Taurine 1–2g + Inositol 2g + L-theanine 200mg PM.
• Beta-alanine: 3.2g/day split 1.6g AM + 1.6g PM (8–10 wk load).
• Optional: Caffeine 100–200mg 30–45' pre (only if sleep stable; pair with 100mg theanine).
• Optional: Tongkat Ali 200–400mg AM (cycle 5 days on / weekend off).</t>
        </is>
      </c>
      <c r="R41" s="2" t="inlineStr">
        <is>
          <t>Foam roll light 6–8 min + 8–12 min downshift (NSDR or box breathing).</t>
        </is>
      </c>
      <c r="S41" s="2" t="n"/>
      <c r="T41" s="2" t="n"/>
      <c r="U41" s="2" t="n"/>
      <c r="V41" s="2" t="n">
        <v>60</v>
      </c>
      <c r="W41" s="2" t="n">
        <v>0</v>
      </c>
      <c r="X41" s="2" t="n">
        <v>75</v>
      </c>
      <c r="Y41" s="2" t="n">
        <v>120</v>
      </c>
      <c r="Z41" s="2" t="n">
        <v>0</v>
      </c>
      <c r="AA41" s="2" t="n">
        <v>702</v>
      </c>
      <c r="AB41" s="2" t="n">
        <v>563</v>
      </c>
      <c r="AC41" s="2" t="n">
        <v>1265</v>
      </c>
    </row>
    <row r="42">
      <c r="A42" s="2" t="inlineStr">
        <is>
          <t>2026-03-14</t>
        </is>
      </c>
      <c r="B42" s="2" t="n">
        <v>6</v>
      </c>
      <c r="C42" s="2" t="inlineStr">
        <is>
          <t>BUILD</t>
        </is>
      </c>
      <c r="D42" s="2" t="inlineStr">
        <is>
          <t>Saturday</t>
        </is>
      </c>
      <c r="E42" s="2" t="inlineStr">
        <is>
          <t>Long ride 4.5h. HR cap ≤78% HRmax. Power cap ≤270W (≤86% FTP). Include 12×10 min LT1 (target HR 122; reduce power if HR stays &gt;127 for 2+ min). Recoveries 2–3 min easy spin (use for fueling/drinking).</t>
        </is>
      </c>
      <c r="F42" s="2" t="n"/>
      <c r="G42" s="2" t="n"/>
      <c r="H42" s="2" t="inlineStr">
        <is>
          <t>Long: 80–90 g/h. Sodium 700–1000 mg/h. Start fueling at 15'.</t>
        </is>
      </c>
      <c r="I42" s="2" t="inlineStr">
        <is>
          <t>4000 kcal | 160P 660C 80F  (meals sum: 4000 kcal | 160P 660C 80F)</t>
        </is>
      </c>
      <c r="J42" s="2" t="inlineStr">
        <is>
          <t>0P 30C 0F</t>
        </is>
      </c>
      <c r="K42" s="2" t="inlineStr">
        <is>
          <t>0P 382C 0F</t>
        </is>
      </c>
      <c r="L42" s="2" t="inlineStr">
        <is>
          <t>42P 51C 15F</t>
        </is>
      </c>
      <c r="M42" s="2" t="inlineStr">
        <is>
          <t>40P 63C 26F</t>
        </is>
      </c>
      <c r="N42" s="2" t="inlineStr">
        <is>
          <t>25P 60C 10F</t>
        </is>
      </c>
      <c r="O42" s="2" t="inlineStr">
        <is>
          <t>33P 64C 24F</t>
        </is>
      </c>
      <c r="P42" s="2" t="inlineStr">
        <is>
          <t>20P 10C 5F</t>
        </is>
      </c>
      <c r="Q42" s="2" t="inlineStr">
        <is>
          <t>• Daily base: Creatine 5g AM; Omega-3 (2g EPA/DHA) with meal; Vitamin D3 2000 IU (winter) unless already; Magnesium glycinate 300–400mg PM; Glycine 3g + Taurine 1–2g + Inositol 2g + L-theanine 200mg PM.
• Beta-alanine: 3.2g/day split 1.6g AM + 1.6g PM (8–10 wk load).
• Optional: Caffeine 100–200mg 30–45' pre (only if sleep stable; pair with 100mg theanine).
• Optional: Tongkat Ali 200–400mg AM (cycle 5 days on / weekend off).</t>
        </is>
      </c>
      <c r="R42" s="2" t="inlineStr">
        <is>
          <t>After long ride: 10–15 min walk + legs up the wall 5 min. No deep stretching. Flexbeam optional 10 min if knee/hamstring niggles.</t>
        </is>
      </c>
      <c r="S42" s="2" t="inlineStr">
        <is>
          <t>Cut duration by 30–45 min.</t>
        </is>
      </c>
      <c r="T42" s="2" t="inlineStr">
        <is>
          <t>Add 15–20 min (outdoors) OR add 20 min upper Z2 late.</t>
        </is>
      </c>
      <c r="U42" s="2" t="inlineStr">
        <is>
          <t>Winter options: If icy/dark, do indoor split (AM+PM) OR 2–3h XC ski (Z2) + 60–90 min easy trainer later. Keep fueling totals.</t>
        </is>
      </c>
      <c r="V42" s="2" t="n">
        <v>270</v>
      </c>
      <c r="W42" s="2" t="n">
        <v>0</v>
      </c>
      <c r="X42" s="2" t="n">
        <v>0</v>
      </c>
      <c r="Y42" s="2" t="n">
        <v>270</v>
      </c>
      <c r="Z42" s="2" t="n">
        <v>2948</v>
      </c>
      <c r="AA42" s="2" t="n">
        <v>0</v>
      </c>
      <c r="AB42" s="2" t="n">
        <v>0</v>
      </c>
      <c r="AC42" s="2" t="n">
        <v>2948</v>
      </c>
    </row>
    <row r="43">
      <c r="A43" s="2" t="inlineStr">
        <is>
          <t>2026-03-15</t>
        </is>
      </c>
      <c r="B43" s="2" t="n">
        <v>6</v>
      </c>
      <c r="C43" s="2" t="inlineStr">
        <is>
          <t>BUILD</t>
        </is>
      </c>
      <c r="D43" s="2" t="inlineStr">
        <is>
          <t>Sunday</t>
        </is>
      </c>
      <c r="E43" s="2" t="n"/>
      <c r="F43" s="2" t="n"/>
      <c r="G43" s="2" t="n"/>
      <c r="H43" s="2" t="n"/>
      <c r="I43" s="2" t="inlineStr">
        <is>
          <t>2500 kcal | 160P 262C 90F  (meals sum: 2498 kcal | 160P 262C 90F)</t>
        </is>
      </c>
      <c r="J43" s="2" t="inlineStr">
        <is>
          <t>0P 0C 0F</t>
        </is>
      </c>
      <c r="K43" s="2" t="inlineStr">
        <is>
          <t>0P 0C 0F</t>
        </is>
      </c>
      <c r="L43" s="2" t="inlineStr">
        <is>
          <t>42P 75C 15F</t>
        </is>
      </c>
      <c r="M43" s="2" t="inlineStr">
        <is>
          <t>40P 69C 31F</t>
        </is>
      </c>
      <c r="N43" s="2" t="inlineStr">
        <is>
          <t>25P 45C 10F</t>
        </is>
      </c>
      <c r="O43" s="2" t="inlineStr">
        <is>
          <t>33P 58C 29F</t>
        </is>
      </c>
      <c r="P43" s="2" t="inlineStr">
        <is>
          <t>20P 15C 5F</t>
        </is>
      </c>
      <c r="Q43" s="2" t="inlineStr">
        <is>
          <t>• Daily base: Creatine 5g AM; Omega-3 (2g EPA/DHA) with meal; Vitamin D3 2000 IU (winter) unless already; Magnesium glycinate 300–400mg PM; Glycine 3g + Taurine 1–2g + Inositol 2g + L-theanine 200mg PM.
• Beta-alanine: 3.2g/day split 1.6g AM + 1.6g PM (8–10 wk load).
• Optional: Caffeine 100–200mg 30–45' pre (only if sleep stable; pair with 100mg theanine).
• Optional: Tongkat Ali 200–400mg AM (cycle 5 days on / weekend off).</t>
        </is>
      </c>
      <c r="R43" s="2" t="inlineStr">
        <is>
          <t>Full rest. 20–30 min easy walk + 10 min mobility if you feel stiff. Limit screen stress at night.</t>
        </is>
      </c>
      <c r="S43" s="2" t="n"/>
      <c r="T43" s="2" t="n"/>
      <c r="U43" s="2" t="n"/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</row>
    <row r="44">
      <c r="A44" s="2" t="inlineStr">
        <is>
          <t>2026-03-16</t>
        </is>
      </c>
      <c r="B44" s="2" t="n">
        <v>7</v>
      </c>
      <c r="C44" s="2" t="inlineStr">
        <is>
          <t>BUILD</t>
        </is>
      </c>
      <c r="D44" s="2" t="inlineStr">
        <is>
          <t>Monday</t>
        </is>
      </c>
      <c r="E44" s="2" t="inlineStr">
        <is>
          <t>Bike – FTP 18x3min (30s rest) @95–100% FTP + 60min Z2 (run replacement)</t>
        </is>
      </c>
      <c r="F44" s="2" t="inlineStr">
        <is>
          <t>Replaced with Z2 bike</t>
        </is>
      </c>
      <c r="G44" s="2" t="inlineStr">
        <is>
          <t>Upper body + core (optional 45–60 min):
A: Bench or OHP 4×6 @ RPE 7
B: Pull-ups or pulldown 4×6–10
C: DB row 3×10
D: Lateral raise 3×12–15
E: Triceps + biceps 2–3×10–15
F: Core: Pallof press 3×10/side + plank 2×45–60s
Keep this away from failure.
Added (moderate load, post-bike):
• Bulgarian Split Squat or Step-Up
  3×6–8 / leg @ RIR 2–3
  Controlled eccentric, no grind</t>
        </is>
      </c>
      <c r="H44" s="2" t="inlineStr">
        <is>
          <t>Bike: 60–80 g/h (mix glucose+fructose). 500–750 ml/h + sodium 500–800 mg/h.</t>
        </is>
      </c>
      <c r="I44" s="2" t="inlineStr">
        <is>
          <t>3300 kcal | 165P 502C 70F  (meals sum: 3298 kcal | 165P 502C 70F)</t>
        </is>
      </c>
      <c r="J44" s="2" t="inlineStr">
        <is>
          <t>0P 30C 0F</t>
        </is>
      </c>
      <c r="K44" s="2" t="inlineStr">
        <is>
          <t>0P 70C 0F</t>
        </is>
      </c>
      <c r="L44" s="2" t="inlineStr">
        <is>
          <t>45P 109C 15F</t>
        </is>
      </c>
      <c r="M44" s="2" t="inlineStr">
        <is>
          <t>40P 125C 20F</t>
        </is>
      </c>
      <c r="N44" s="2" t="inlineStr">
        <is>
          <t>25P 60C 10F</t>
        </is>
      </c>
      <c r="O44" s="2" t="inlineStr">
        <is>
          <t>35P 98C 20F</t>
        </is>
      </c>
      <c r="P44" s="2" t="inlineStr">
        <is>
          <t>20P 10C 5F</t>
        </is>
      </c>
      <c r="Q44" s="2" t="inlineStr">
        <is>
          <t>• Daily base: Creatine 5g AM; Omega-3 (2g EPA/DHA) with meal; Vitamin D3 2000 IU (winter) unless already; Magnesium glycinate 300–400mg PM; Glycine 3g + Taurine 1–2g + Inositol 2g + L-theanine 200mg PM.
• Beta-alanine: 3.2g/day split 1.6g AM + 1.6g PM (8–10 wk load).
• Optional: Caffeine 100–200mg 30–45' pre (only if sleep stable; pair with 100mg theanine).
• Optional: Tongkat Ali 200–400mg AM (cycle 5 days on / weekend off).</t>
        </is>
      </c>
      <c r="R44" s="2" t="inlineStr">
        <is>
          <t>Post: 5–8 min easy spin-down + 5 min nasal breathing. Evening: Flexbeam 10–15 min + gentle hamstring nerve glide (NOT aggressive stretching).</t>
        </is>
      </c>
      <c r="S44" s="2" t="inlineStr">
        <is>
          <t>2×12 min.</t>
        </is>
      </c>
      <c r="T44" s="2" t="inlineStr">
        <is>
          <t>3×13–14 min.</t>
        </is>
      </c>
      <c r="U44" s="2" t="n"/>
      <c r="V44" s="2" t="n">
        <v>133</v>
      </c>
      <c r="W44" s="2" t="n">
        <v>0</v>
      </c>
      <c r="X44" s="2" t="n">
        <v>0</v>
      </c>
      <c r="Y44" s="2" t="n">
        <v>118</v>
      </c>
      <c r="Z44" s="2" t="n">
        <v>1196</v>
      </c>
      <c r="AA44" s="2" t="n">
        <v>702</v>
      </c>
      <c r="AB44" s="2" t="n">
        <v>0</v>
      </c>
      <c r="AC44" s="2" t="n">
        <v>1898</v>
      </c>
    </row>
    <row r="45">
      <c r="A45" s="2" t="inlineStr">
        <is>
          <t>2026-03-17</t>
        </is>
      </c>
      <c r="B45" s="2" t="n">
        <v>7</v>
      </c>
      <c r="C45" s="2" t="inlineStr">
        <is>
          <t>BUILD</t>
        </is>
      </c>
      <c r="D45" s="2" t="inlineStr">
        <is>
          <t>Tuesday</t>
        </is>
      </c>
      <c r="E45" s="2" t="inlineStr">
        <is>
          <t>OFF or 45–60 min Z2 @ 205–235W (65–75% FTP) (65–75% FTP).</t>
        </is>
      </c>
      <c r="F45" s="2" t="inlineStr">
        <is>
          <t>Easy 45 min (≤75% HRmax).</t>
        </is>
      </c>
      <c r="G45" s="2" t="n"/>
      <c r="H45" s="2" t="n"/>
      <c r="I45" s="2" t="inlineStr">
        <is>
          <t>2800 kcal | 160P 360C 80F  (meals sum: 2800 kcal | 160P 360C 80F)</t>
        </is>
      </c>
      <c r="J45" s="2" t="inlineStr">
        <is>
          <t>0P 25C 0F</t>
        </is>
      </c>
      <c r="K45" s="2" t="inlineStr">
        <is>
          <t>0P 0C 0F</t>
        </is>
      </c>
      <c r="L45" s="2" t="inlineStr">
        <is>
          <t>42P 108C 15F</t>
        </is>
      </c>
      <c r="M45" s="2" t="inlineStr">
        <is>
          <t>40P 94C 26F</t>
        </is>
      </c>
      <c r="N45" s="2" t="inlineStr">
        <is>
          <t>25P 45C 10F</t>
        </is>
      </c>
      <c r="O45" s="2" t="inlineStr">
        <is>
          <t>33P 73C 24F</t>
        </is>
      </c>
      <c r="P45" s="2" t="inlineStr">
        <is>
          <t>20P 15C 5F</t>
        </is>
      </c>
      <c r="Q45" s="2" t="inlineStr">
        <is>
          <t>• Daily base: Creatine 5g AM; Omega-3 (2g EPA/DHA) with meal; Vitamin D3 2000 IU (winter) unless already; Magnesium glycinate 300–400mg PM; Glycine 3g + Taurine 1–2g + Inositol 2g + L-theanine 200mg PM.
• Beta-alanine: 3.2g/day split 1.6g AM + 1.6g PM (8–10 wk load).
• Optional: Caffeine 100–200mg 30–45' pre (only if sleep stable; pair with 100mg theanine).
• Optional: Tongkat Ali 200–400mg AM (cycle 5 days on / weekend off).</t>
        </is>
      </c>
      <c r="R45" s="2" t="inlineStr">
        <is>
          <t>Foam roll calves/quads 8–10 min + hip mobility 8 min. Flexbeam optional 10 min if hamstring feels tight.</t>
        </is>
      </c>
      <c r="S45" s="2" t="inlineStr">
        <is>
          <t>OFF.</t>
        </is>
      </c>
      <c r="T45" s="2" t="inlineStr">
        <is>
          <t>Add 10 min easy if time.</t>
        </is>
      </c>
      <c r="U45" s="2" t="n"/>
      <c r="V45" s="2" t="n">
        <v>0</v>
      </c>
      <c r="W45" s="2" t="n">
        <v>0</v>
      </c>
      <c r="X45" s="2" t="n">
        <v>50</v>
      </c>
      <c r="Y45" s="2" t="n">
        <v>50</v>
      </c>
      <c r="Z45" s="2" t="n">
        <v>0</v>
      </c>
      <c r="AA45" s="2" t="n">
        <v>0</v>
      </c>
      <c r="AB45" s="2" t="n">
        <v>375</v>
      </c>
      <c r="AC45" s="2" t="n">
        <v>375</v>
      </c>
    </row>
    <row r="46">
      <c r="A46" s="2" t="inlineStr">
        <is>
          <t>2026-03-18</t>
        </is>
      </c>
      <c r="B46" s="2" t="n">
        <v>7</v>
      </c>
      <c r="C46" s="2" t="inlineStr">
        <is>
          <t>BUILD</t>
        </is>
      </c>
      <c r="D46" s="2" t="inlineStr">
        <is>
          <t>Wednesday</t>
        </is>
      </c>
      <c r="E46" s="2" t="inlineStr">
        <is>
          <t>80min Z2 (run replacement)</t>
        </is>
      </c>
      <c r="F46" s="2" t="inlineStr">
        <is>
          <t>Replaced with Z2 bike</t>
        </is>
      </c>
      <c r="G46" s="2" t="inlineStr">
        <is>
          <t>Full-body (Heavy bias):
A: Trap bar DL 4×3 @ RPE 8 + 2×6 @ -10%
B: Bench press 4×5 @ RPE 7–8
C: Split squat 3×6–8/leg @ RPE 8
D: Chest-supported row 4×6–8 @ RPE 7–8
E: Hamstring ecc (Nordic OR slider) 3×6–10 (slow 3–4s down)
F: Calf raise 3×10–12
G: Anti-rotation core 3×8–10/side
Rest: 2–3 min big lifts; 60–90" accessories.</t>
        </is>
      </c>
      <c r="H46" s="2" t="n"/>
      <c r="I46" s="2" t="inlineStr">
        <is>
          <t>3000 kcal | 170P 400C 80F  (meals sum: 3000 kcal | 170P 400C 80F)</t>
        </is>
      </c>
      <c r="J46" s="2" t="inlineStr">
        <is>
          <t>0P 25C 0F</t>
        </is>
      </c>
      <c r="K46" s="2" t="inlineStr">
        <is>
          <t>0P 0C 0F</t>
        </is>
      </c>
      <c r="L46" s="2" t="inlineStr">
        <is>
          <t>48P 126C 15F</t>
        </is>
      </c>
      <c r="M46" s="2" t="inlineStr">
        <is>
          <t>40P 108C 26F</t>
        </is>
      </c>
      <c r="N46" s="2" t="inlineStr">
        <is>
          <t>25P 45C 10F</t>
        </is>
      </c>
      <c r="O46" s="2" t="inlineStr">
        <is>
          <t>37P 81C 24F</t>
        </is>
      </c>
      <c r="P46" s="2" t="inlineStr">
        <is>
          <t>20P 15C 5F</t>
        </is>
      </c>
      <c r="Q46" s="2" t="inlineStr">
        <is>
          <t>• Daily base: Creatine 5g AM; Omega-3 (2g EPA/DHA) with meal; Vitamin D3 2000 IU (winter) unless already; Magnesium glycinate 300–400mg PM; Glycine 3g + Taurine 1–2g + Inositol 2g + L-theanine 200mg PM.
• Beta-alanine: 3.2g/day split 1.6g AM + 1.6g PM (8–10 wk load).
• Optional: Caffeine 100–200mg 30–45' pre (only if sleep stable; pair with 100mg theanine).
• Optional: Tongkat Ali 200–400mg AM (cycle 5 days on / weekend off).</t>
        </is>
      </c>
      <c r="R46" s="2" t="inlineStr">
        <is>
          <t>After strength: massage gun glute/hamstring 6–8 min + light hip flexor stretch. Flexbeam 10 min if sore.</t>
        </is>
      </c>
      <c r="S46" s="2" t="n"/>
      <c r="T46" s="2" t="n"/>
      <c r="U46" s="2" t="n"/>
      <c r="V46" s="2" t="n">
        <v>80</v>
      </c>
      <c r="W46" s="2" t="n">
        <v>0</v>
      </c>
      <c r="X46" s="2" t="n">
        <v>75</v>
      </c>
      <c r="Y46" s="2" t="n">
        <v>135</v>
      </c>
      <c r="Z46" s="2" t="n">
        <v>0</v>
      </c>
      <c r="AA46" s="2" t="n">
        <v>936</v>
      </c>
      <c r="AB46" s="2" t="n">
        <v>563</v>
      </c>
      <c r="AC46" s="2" t="n">
        <v>1499</v>
      </c>
    </row>
    <row r="47">
      <c r="A47" s="2" t="inlineStr">
        <is>
          <t>2026-03-19</t>
        </is>
      </c>
      <c r="B47" s="2" t="n">
        <v>7</v>
      </c>
      <c r="C47" s="2" t="inlineStr">
        <is>
          <t>BUILD</t>
        </is>
      </c>
      <c r="D47" s="2" t="inlineStr">
        <is>
          <t>Thursday</t>
        </is>
      </c>
      <c r="E47" s="2" t="inlineStr">
        <is>
          <t>Warm-up:
• 10 min @ 65–70% FTP
• 3×1 min @ 105% FTP (1 min @ 60% FTP between)
Main set:
• 2×35 min @ 277–284W (~88–90% FTP)
  – Recovery: 5 min @ 60% FTP
Cooldown:
• 10 min @ 60–65% FTP</t>
        </is>
      </c>
      <c r="F47" s="2" t="n"/>
      <c r="G47" s="2" t="n"/>
      <c r="H47" s="2" t="inlineStr">
        <is>
          <t>Bike: 60–70 g/h. 500–750 ml/h.</t>
        </is>
      </c>
      <c r="I47" s="2" t="inlineStr">
        <is>
          <t>3100 kcal | 160P 458C 70F  (meals sum: 3102 kcal | 160P 458C 70F)</t>
        </is>
      </c>
      <c r="J47" s="2" t="inlineStr">
        <is>
          <t>0P 30C 0F</t>
        </is>
      </c>
      <c r="K47" s="2" t="inlineStr">
        <is>
          <t>0P 60C 0F</t>
        </is>
      </c>
      <c r="L47" s="2" t="inlineStr">
        <is>
          <t>42P 94C 15F</t>
        </is>
      </c>
      <c r="M47" s="2" t="inlineStr">
        <is>
          <t>40P 112C 20F</t>
        </is>
      </c>
      <c r="N47" s="2" t="inlineStr">
        <is>
          <t>25P 60C 10F</t>
        </is>
      </c>
      <c r="O47" s="2" t="inlineStr">
        <is>
          <t>33P 92C 20F</t>
        </is>
      </c>
      <c r="P47" s="2" t="inlineStr">
        <is>
          <t>20P 10C 5F</t>
        </is>
      </c>
      <c r="Q47" s="2" t="inlineStr">
        <is>
          <t>• Daily base: Creatine 5g AM; Omega-3 (2g EPA/DHA) with meal; Vitamin D3 2000 IU (winter) unless already; Magnesium glycinate 300–400mg PM; Glycine 3g + Taurine 1–2g + Inositol 2g + L-theanine 200mg PM.
• Beta-alanine: 3.2g/day split 1.6g AM + 1.6g PM (8–10 wk load).
• Optional: Caffeine 100–200mg 30–45' pre (only if sleep stable; pair with 100mg theanine).
• Optional: Tongkat Ali 200–400mg AM (cycle 5 days on / weekend off).</t>
        </is>
      </c>
      <c r="R47" s="2" t="inlineStr">
        <is>
          <t>After ride: 10 min easy + couch stretch 2×45s/side + thoracic mobility. Flexbeam 10–15 min.</t>
        </is>
      </c>
      <c r="S47" s="2" t="inlineStr">
        <is>
          <t>2×30 min.</t>
        </is>
      </c>
      <c r="T47" s="2" t="inlineStr">
        <is>
          <t>2×37–38 min.</t>
        </is>
      </c>
      <c r="U47" s="2" t="n"/>
      <c r="V47" s="2" t="n">
        <v>100</v>
      </c>
      <c r="W47" s="2" t="n">
        <v>0</v>
      </c>
      <c r="X47" s="2" t="n">
        <v>0</v>
      </c>
      <c r="Y47" s="2" t="n">
        <v>100</v>
      </c>
      <c r="Z47" s="2" t="n">
        <v>1365</v>
      </c>
      <c r="AA47" s="2" t="n">
        <v>0</v>
      </c>
      <c r="AB47" s="2" t="n">
        <v>0</v>
      </c>
      <c r="AC47" s="2" t="n">
        <v>1365</v>
      </c>
    </row>
    <row r="48">
      <c r="A48" s="2" t="inlineStr">
        <is>
          <t>2026-03-20</t>
        </is>
      </c>
      <c r="B48" s="2" t="n">
        <v>7</v>
      </c>
      <c r="C48" s="2" t="inlineStr">
        <is>
          <t>BUILD</t>
        </is>
      </c>
      <c r="D48" s="2" t="inlineStr">
        <is>
          <t>Friday</t>
        </is>
      </c>
      <c r="E48" s="2" t="inlineStr">
        <is>
          <t>60min Z2 (run replacement)</t>
        </is>
      </c>
      <c r="F48" s="2" t="inlineStr">
        <is>
          <t>Replaced with Z2 bike</t>
        </is>
      </c>
      <c r="G48" s="2" t="inlineStr">
        <is>
          <t>Full-body (Hypertrophy bias, 60–75 min):
A: Front-foot elevated split squat 3×10/leg @ RPE 7–8
B: RDL (DB or bar) 3×8 @ RPE 7–8
C: Hip thrust 3×10 @ RPE 7–8
D: Incline DB press 4×8–12 @ RPE 7–8
E: Lat pulldown or pull-ups 4×8–12
F: Seated cable row 3×10–12
G: Calf raise 3×12–15
H: Core (dead bug / side plank) 2–3 sets
Progression: add reps until top of range, then +2–5% load.</t>
        </is>
      </c>
      <c r="H48" s="2" t="n"/>
      <c r="I48" s="2" t="inlineStr">
        <is>
          <t>3000 kcal | 170P 400C 80F  (meals sum: 3000 kcal | 170P 400C 80F)</t>
        </is>
      </c>
      <c r="J48" s="2" t="inlineStr">
        <is>
          <t>0P 25C 0F</t>
        </is>
      </c>
      <c r="K48" s="2" t="inlineStr">
        <is>
          <t>0P 0C 0F</t>
        </is>
      </c>
      <c r="L48" s="2" t="inlineStr">
        <is>
          <t>48P 126C 15F</t>
        </is>
      </c>
      <c r="M48" s="2" t="inlineStr">
        <is>
          <t>40P 108C 26F</t>
        </is>
      </c>
      <c r="N48" s="2" t="inlineStr">
        <is>
          <t>25P 45C 10F</t>
        </is>
      </c>
      <c r="O48" s="2" t="inlineStr">
        <is>
          <t>37P 81C 24F</t>
        </is>
      </c>
      <c r="P48" s="2" t="inlineStr">
        <is>
          <t>20P 15C 5F</t>
        </is>
      </c>
      <c r="Q48" s="2" t="inlineStr">
        <is>
          <t>• Daily base: Creatine 5g AM; Omega-3 (2g EPA/DHA) with meal; Vitamin D3 2000 IU (winter) unless already; Magnesium glycinate 300–400mg PM; Glycine 3g + Taurine 1–2g + Inositol 2g + L-theanine 200mg PM.
• Beta-alanine: 3.2g/day split 1.6g AM + 1.6g PM (8–10 wk load).
• Optional: Caffeine 100–200mg 30–45' pre (only if sleep stable; pair with 100mg theanine).
• Optional: Tongkat Ali 200–400mg AM (cycle 5 days on / weekend off).</t>
        </is>
      </c>
      <c r="R48" s="2" t="inlineStr">
        <is>
          <t>Foam roll light 6–8 min + 8–12 min downshift (NSDR or box breathing).</t>
        </is>
      </c>
      <c r="S48" s="2" t="n"/>
      <c r="T48" s="2" t="n"/>
      <c r="U48" s="2" t="n"/>
      <c r="V48" s="2" t="n">
        <v>60</v>
      </c>
      <c r="W48" s="2" t="n">
        <v>0</v>
      </c>
      <c r="X48" s="2" t="n">
        <v>75</v>
      </c>
      <c r="Y48" s="2" t="n">
        <v>120</v>
      </c>
      <c r="Z48" s="2" t="n">
        <v>0</v>
      </c>
      <c r="AA48" s="2" t="n">
        <v>702</v>
      </c>
      <c r="AB48" s="2" t="n">
        <v>563</v>
      </c>
      <c r="AC48" s="2" t="n">
        <v>1265</v>
      </c>
    </row>
    <row r="49">
      <c r="A49" s="2" t="inlineStr">
        <is>
          <t>2026-03-21</t>
        </is>
      </c>
      <c r="B49" s="2" t="n">
        <v>7</v>
      </c>
      <c r="C49" s="2" t="inlineStr">
        <is>
          <t>BUILD</t>
        </is>
      </c>
      <c r="D49" s="2" t="inlineStr">
        <is>
          <t>Saturday</t>
        </is>
      </c>
      <c r="E49" s="2" t="inlineStr">
        <is>
          <t>Long ride 5.0h. HR cap ≤78% HRmax. Power cap ≤270W (≤86% FTP). Include 4–6×5 min high-cadence (95–105rpm) sprinkled in. If feeling strong: last 45–60 min steady @ 245–265W (upper Z2) while HR stays controlled.</t>
        </is>
      </c>
      <c r="F49" s="2" t="n"/>
      <c r="G49" s="2" t="n"/>
      <c r="H49" s="2" t="inlineStr">
        <is>
          <t>Long: 80–90 g/h. Sodium 700–1000 mg/h. Start fueling at 15'.</t>
        </is>
      </c>
      <c r="I49" s="2" t="inlineStr">
        <is>
          <t>4000 kcal | 160P 660C 80F  (meals sum: 4000 kcal | 160P 660C 80F)</t>
        </is>
      </c>
      <c r="J49" s="2" t="inlineStr">
        <is>
          <t>0P 30C 0F</t>
        </is>
      </c>
      <c r="K49" s="2" t="inlineStr">
        <is>
          <t>0P 425C 0F</t>
        </is>
      </c>
      <c r="L49" s="2" t="inlineStr">
        <is>
          <t>42P 31C 15F</t>
        </is>
      </c>
      <c r="M49" s="2" t="inlineStr">
        <is>
          <t>40P 49C 26F</t>
        </is>
      </c>
      <c r="N49" s="2" t="inlineStr">
        <is>
          <t>25P 60C 10F</t>
        </is>
      </c>
      <c r="O49" s="2" t="inlineStr">
        <is>
          <t>33P 55C 24F</t>
        </is>
      </c>
      <c r="P49" s="2" t="inlineStr">
        <is>
          <t>20P 10C 5F</t>
        </is>
      </c>
      <c r="Q49" s="2" t="inlineStr">
        <is>
          <t>• Daily base: Creatine 5g AM; Omega-3 (2g EPA/DHA) with meal; Vitamin D3 2000 IU (winter) unless already; Magnesium glycinate 300–400mg PM; Glycine 3g + Taurine 1–2g + Inositol 2g + L-theanine 200mg PM.
• Beta-alanine: 3.2g/day split 1.6g AM + 1.6g PM (8–10 wk load).
• Optional: Caffeine 100–200mg 30–45' pre (only if sleep stable; pair with 100mg theanine).
• Optional: Tongkat Ali 200–400mg AM (cycle 5 days on / weekend off).</t>
        </is>
      </c>
      <c r="R49" s="2" t="inlineStr">
        <is>
          <t>After long ride: 10–15 min walk + legs up the wall 5 min. No deep stretching. Flexbeam optional 10 min if knee/hamstring niggles.</t>
        </is>
      </c>
      <c r="S49" s="2" t="inlineStr">
        <is>
          <t>Cut duration by 30–45 min.</t>
        </is>
      </c>
      <c r="T49" s="2" t="inlineStr">
        <is>
          <t>Add 15–20 min (outdoors) OR add 20 min upper Z2 late.</t>
        </is>
      </c>
      <c r="U49" s="2" t="inlineStr">
        <is>
          <t>Winter options: If icy/dark, do indoor split (AM+PM) OR 2–3h XC ski (Z2) + 60–90 min easy trainer later. Keep fueling totals.</t>
        </is>
      </c>
      <c r="V49" s="2" t="n">
        <v>300</v>
      </c>
      <c r="W49" s="2" t="n">
        <v>0</v>
      </c>
      <c r="X49" s="2" t="n">
        <v>0</v>
      </c>
      <c r="Y49" s="2" t="n">
        <v>300</v>
      </c>
      <c r="Z49" s="2" t="n">
        <v>3276</v>
      </c>
      <c r="AA49" s="2" t="n">
        <v>0</v>
      </c>
      <c r="AB49" s="2" t="n">
        <v>0</v>
      </c>
      <c r="AC49" s="2" t="n">
        <v>3276</v>
      </c>
    </row>
    <row r="50">
      <c r="A50" s="2" t="inlineStr">
        <is>
          <t>2026-03-22</t>
        </is>
      </c>
      <c r="B50" s="2" t="n">
        <v>7</v>
      </c>
      <c r="C50" s="2" t="inlineStr">
        <is>
          <t>BUILD</t>
        </is>
      </c>
      <c r="D50" s="2" t="inlineStr">
        <is>
          <t>Sunday</t>
        </is>
      </c>
      <c r="E50" s="2" t="n"/>
      <c r="F50" s="2" t="n"/>
      <c r="G50" s="2" t="n"/>
      <c r="H50" s="2" t="n"/>
      <c r="I50" s="2" t="inlineStr">
        <is>
          <t>2500 kcal | 160P 262C 90F  (meals sum: 2498 kcal | 160P 262C 90F)</t>
        </is>
      </c>
      <c r="J50" s="2" t="inlineStr">
        <is>
          <t>0P 0C 0F</t>
        </is>
      </c>
      <c r="K50" s="2" t="inlineStr">
        <is>
          <t>0P 0C 0F</t>
        </is>
      </c>
      <c r="L50" s="2" t="inlineStr">
        <is>
          <t>42P 75C 15F</t>
        </is>
      </c>
      <c r="M50" s="2" t="inlineStr">
        <is>
          <t>40P 69C 31F</t>
        </is>
      </c>
      <c r="N50" s="2" t="inlineStr">
        <is>
          <t>25P 45C 10F</t>
        </is>
      </c>
      <c r="O50" s="2" t="inlineStr">
        <is>
          <t>33P 58C 29F</t>
        </is>
      </c>
      <c r="P50" s="2" t="inlineStr">
        <is>
          <t>20P 15C 5F</t>
        </is>
      </c>
      <c r="Q50" s="2" t="inlineStr">
        <is>
          <t>• Daily base: Creatine 5g AM; Omega-3 (2g EPA/DHA) with meal; Vitamin D3 2000 IU (winter) unless already; Magnesium glycinate 300–400mg PM; Glycine 3g + Taurine 1–2g + Inositol 2g + L-theanine 200mg PM.
• Beta-alanine: 3.2g/day split 1.6g AM + 1.6g PM (8–10 wk load).
• Optional: Caffeine 100–200mg 30–45' pre (only if sleep stable; pair with 100mg theanine).
• Optional: Tongkat Ali 200–400mg AM (cycle 5 days on / weekend off).</t>
        </is>
      </c>
      <c r="R50" s="2" t="inlineStr">
        <is>
          <t>Full rest. 20–30 min easy walk + 10 min mobility if you feel stiff. Limit screen stress at night.</t>
        </is>
      </c>
      <c r="S50" s="2" t="n"/>
      <c r="T50" s="2" t="n"/>
      <c r="U50" s="2" t="n"/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0</v>
      </c>
      <c r="AB50" s="2" t="n">
        <v>0</v>
      </c>
      <c r="AC50" s="2" t="n">
        <v>0</v>
      </c>
    </row>
    <row r="51">
      <c r="A51" s="2" t="inlineStr">
        <is>
          <t>2026-03-23</t>
        </is>
      </c>
      <c r="B51" s="2" t="n">
        <v>8</v>
      </c>
      <c r="C51" s="2" t="inlineStr">
        <is>
          <t>DELOAD</t>
        </is>
      </c>
      <c r="D51" s="2" t="inlineStr">
        <is>
          <t>Monday</t>
        </is>
      </c>
      <c r="E51" s="2" t="inlineStr">
        <is>
          <t>Bike – FTP 20x3min (30s rest) @95–100% FTP + 36min Z2 (run replacement)</t>
        </is>
      </c>
      <c r="F51" s="2" t="inlineStr">
        <is>
          <t>Replaced with Z2 bike</t>
        </is>
      </c>
      <c r="G51" s="2" t="inlineStr">
        <is>
          <t>Upper body + core (optional 45–60 min):
A: Bench or OHP 4×6 @ RPE 7
B: Pull-ups or pulldown 4×6–10
C: DB row 3×10
D: Lateral raise 3×12–15
E: Triceps + biceps 2–3×10–15
F: Core: Pallof press 3×10/side + plank 2×45–60s
Keep this away from failure.
Added (moderate load, post-bike):
• Bulgarian Split Squat or Step-Up
  3×6–8 / leg @ RIR 2–3
  Controlled eccentric, no grind</t>
        </is>
      </c>
      <c r="H51" s="2" t="inlineStr">
        <is>
          <t>Bike: 60–80 g/h (mix glucose+fructose). 500–750 ml/h + sodium 500–800 mg/h.</t>
        </is>
      </c>
      <c r="I51" s="2" t="inlineStr">
        <is>
          <t>3300 kcal | 165P 502C 70F  (meals sum: 3298 kcal | 165P 502C 70F)</t>
        </is>
      </c>
      <c r="J51" s="2" t="inlineStr">
        <is>
          <t>0P 30C 0F</t>
        </is>
      </c>
      <c r="K51" s="2" t="inlineStr">
        <is>
          <t>0P 70C 0F</t>
        </is>
      </c>
      <c r="L51" s="2" t="inlineStr">
        <is>
          <t>45P 109C 15F</t>
        </is>
      </c>
      <c r="M51" s="2" t="inlineStr">
        <is>
          <t>40P 125C 20F</t>
        </is>
      </c>
      <c r="N51" s="2" t="inlineStr">
        <is>
          <t>25P 60C 10F</t>
        </is>
      </c>
      <c r="O51" s="2" t="inlineStr">
        <is>
          <t>35P 98C 20F</t>
        </is>
      </c>
      <c r="P51" s="2" t="inlineStr">
        <is>
          <t>20P 10C 5F</t>
        </is>
      </c>
      <c r="Q51" s="2" t="inlineStr">
        <is>
          <t>• Daily base: Creatine 5g AM; Omega-3 (2g EPA/DHA) with meal; Vitamin D3 2000 IU (winter) unless already; Magnesium glycinate 300–400mg PM; Glycine 3g + Taurine 1–2g + Inositol 2g + L-theanine 200mg PM.
• Beta-alanine: 3.2g/day split 1.6g AM + 1.6g PM (8–10 wk load).
• Optional: Caffeine 100–200mg 30–45' pre (only if sleep stable; pair with 100mg theanine).
• Optional: Tongkat Ali 200–400mg AM (cycle 5 days on / weekend off).</t>
        </is>
      </c>
      <c r="R51" s="2" t="inlineStr">
        <is>
          <t>Post: 5–8 min easy spin-down + 5 min nasal breathing. Evening: Flexbeam 10–15 min + gentle hamstring nerve glide (NOT aggressive stretching).</t>
        </is>
      </c>
      <c r="S51" s="2" t="inlineStr">
        <is>
          <t>Do 2×8 min only; keep cadence 90–95rpm.</t>
        </is>
      </c>
      <c r="T51" s="2" t="inlineStr">
        <is>
          <t>Keep 2×10 min but lift target to 98–100% if stable HR.</t>
        </is>
      </c>
      <c r="U51" s="2" t="n"/>
      <c r="V51" s="2" t="n">
        <v>86</v>
      </c>
      <c r="W51" s="2" t="n">
        <v>0</v>
      </c>
      <c r="X51" s="2" t="n">
        <v>0</v>
      </c>
      <c r="Y51" s="2" t="n">
        <v>77</v>
      </c>
      <c r="Z51" s="2" t="n">
        <v>819</v>
      </c>
      <c r="AA51" s="2" t="n">
        <v>421</v>
      </c>
      <c r="AB51" s="2" t="n">
        <v>0</v>
      </c>
      <c r="AC51" s="2" t="n">
        <v>1240</v>
      </c>
    </row>
    <row r="52">
      <c r="A52" s="2" t="inlineStr">
        <is>
          <t>2026-03-24</t>
        </is>
      </c>
      <c r="B52" s="2" t="n">
        <v>8</v>
      </c>
      <c r="C52" s="2" t="inlineStr">
        <is>
          <t>DELOAD</t>
        </is>
      </c>
      <c r="D52" s="2" t="inlineStr">
        <is>
          <t>Tuesday</t>
        </is>
      </c>
      <c r="E52" s="2" t="inlineStr">
        <is>
          <t>OFF or 45–60 min Z2 @ 205–235W (65–75% FTP) (65–75% FTP).</t>
        </is>
      </c>
      <c r="F52" s="2" t="inlineStr">
        <is>
          <t>Easy 25–30 min (≤75% HRmax). Soft surface if possible.</t>
        </is>
      </c>
      <c r="G52" s="2" t="n"/>
      <c r="H52" s="2" t="n"/>
      <c r="I52" s="2" t="inlineStr">
        <is>
          <t>2800 kcal | 160P 360C 80F  (meals sum: 2800 kcal | 160P 360C 80F)</t>
        </is>
      </c>
      <c r="J52" s="2" t="inlineStr">
        <is>
          <t>0P 25C 0F</t>
        </is>
      </c>
      <c r="K52" s="2" t="inlineStr">
        <is>
          <t>0P 0C 0F</t>
        </is>
      </c>
      <c r="L52" s="2" t="inlineStr">
        <is>
          <t>42P 108C 15F</t>
        </is>
      </c>
      <c r="M52" s="2" t="inlineStr">
        <is>
          <t>40P 94C 26F</t>
        </is>
      </c>
      <c r="N52" s="2" t="inlineStr">
        <is>
          <t>25P 45C 10F</t>
        </is>
      </c>
      <c r="O52" s="2" t="inlineStr">
        <is>
          <t>33P 73C 24F</t>
        </is>
      </c>
      <c r="P52" s="2" t="inlineStr">
        <is>
          <t>20P 15C 5F</t>
        </is>
      </c>
      <c r="Q52" s="2" t="inlineStr">
        <is>
          <t>• Daily base: Creatine 5g AM; Omega-3 (2g EPA/DHA) with meal; Vitamin D3 2000 IU (winter) unless already; Magnesium glycinate 300–400mg PM; Glycine 3g + Taurine 1–2g + Inositol 2g + L-theanine 200mg PM.
• Beta-alanine: 3.2g/day split 1.6g AM + 1.6g PM (8–10 wk load).
• Optional: Caffeine 100–200mg 30–45' pre (only if sleep stable; pair with 100mg theanine).
• Optional: Tongkat Ali 200–400mg AM (cycle 5 days on / weekend off).</t>
        </is>
      </c>
      <c r="R52" s="2" t="inlineStr">
        <is>
          <t>Foam roll calves/quads 8–10 min + hip mobility 8 min. Flexbeam optional 10 min if hamstring feels tight.</t>
        </is>
      </c>
      <c r="S52" s="2" t="inlineStr">
        <is>
          <t>OFF.</t>
        </is>
      </c>
      <c r="T52" s="2" t="inlineStr">
        <is>
          <t>Add 10 min easy if time.</t>
        </is>
      </c>
      <c r="U52" s="2" t="n"/>
      <c r="V52" s="2" t="n">
        <v>0</v>
      </c>
      <c r="W52" s="2" t="n">
        <v>0</v>
      </c>
      <c r="X52" s="2" t="n">
        <v>50</v>
      </c>
      <c r="Y52" s="2" t="n">
        <v>50</v>
      </c>
      <c r="Z52" s="2" t="n">
        <v>0</v>
      </c>
      <c r="AA52" s="2" t="n">
        <v>0</v>
      </c>
      <c r="AB52" s="2" t="n">
        <v>375</v>
      </c>
      <c r="AC52" s="2" t="n">
        <v>375</v>
      </c>
    </row>
    <row r="53">
      <c r="A53" s="2" t="inlineStr">
        <is>
          <t>2026-03-25</t>
        </is>
      </c>
      <c r="B53" s="2" t="n">
        <v>8</v>
      </c>
      <c r="C53" s="2" t="inlineStr">
        <is>
          <t>DELOAD</t>
        </is>
      </c>
      <c r="D53" s="2" t="inlineStr">
        <is>
          <t>Wednesday</t>
        </is>
      </c>
      <c r="E53" s="2" t="inlineStr">
        <is>
          <t>53min Z2 (run replacement)</t>
        </is>
      </c>
      <c r="F53" s="2" t="inlineStr">
        <is>
          <t>Replaced with Z2 bike</t>
        </is>
      </c>
      <c r="G53" s="2" t="inlineStr">
        <is>
          <t>Full-body (Deload, RPE 6–7):
A1: Trap bar DL 3×4 @ ~70% e1RM (RIR 3)
A2: Bench press 3×5 @ RPE 7
B1: Split squat 2×8/leg @ RPE 7
B2: Chest-supported row 3×8 @ RPE 7
C: Hamstring slider curl 2×10 slow ecc
D: Pallof press 2×10/side
Rest: 2–3 min heavy lifts, 60–90" accessories</t>
        </is>
      </c>
      <c r="H53" s="2" t="n"/>
      <c r="I53" s="2" t="inlineStr">
        <is>
          <t>3000 kcal | 170P 400C 80F  (meals sum: 3000 kcal | 170P 400C 80F)</t>
        </is>
      </c>
      <c r="J53" s="2" t="inlineStr">
        <is>
          <t>0P 25C 0F</t>
        </is>
      </c>
      <c r="K53" s="2" t="inlineStr">
        <is>
          <t>0P 0C 0F</t>
        </is>
      </c>
      <c r="L53" s="2" t="inlineStr">
        <is>
          <t>48P 126C 15F</t>
        </is>
      </c>
      <c r="M53" s="2" t="inlineStr">
        <is>
          <t>40P 108C 26F</t>
        </is>
      </c>
      <c r="N53" s="2" t="inlineStr">
        <is>
          <t>25P 45C 10F</t>
        </is>
      </c>
      <c r="O53" s="2" t="inlineStr">
        <is>
          <t>37P 81C 24F</t>
        </is>
      </c>
      <c r="P53" s="2" t="inlineStr">
        <is>
          <t>20P 15C 5F</t>
        </is>
      </c>
      <c r="Q53" s="2" t="inlineStr">
        <is>
          <t>• Daily base: Creatine 5g AM; Omega-3 (2g EPA/DHA) with meal; Vitamin D3 2000 IU (winter) unless already; Magnesium glycinate 300–400mg PM; Glycine 3g + Taurine 1–2g + Inositol 2g + L-theanine 200mg PM.
• Beta-alanine: 3.2g/day split 1.6g AM + 1.6g PM (8–10 wk load).
• Optional: Caffeine 100–200mg 30–45' pre (only if sleep stable; pair with 100mg theanine).
• Optional: Tongkat Ali 200–400mg AM (cycle 5 days on / weekend off).</t>
        </is>
      </c>
      <c r="R53" s="2" t="inlineStr">
        <is>
          <t>After strength: massage gun glute/hamstring 6–8 min + light hip flexor stretch. Flexbeam 10 min if sore.</t>
        </is>
      </c>
      <c r="S53" s="2" t="n"/>
      <c r="T53" s="2" t="n"/>
      <c r="U53" s="2" t="n"/>
      <c r="V53" s="2" t="n">
        <v>53</v>
      </c>
      <c r="W53" s="2" t="n">
        <v>0</v>
      </c>
      <c r="X53" s="2" t="n">
        <v>50</v>
      </c>
      <c r="Y53" s="2" t="n">
        <v>90</v>
      </c>
      <c r="Z53" s="2" t="n">
        <v>0</v>
      </c>
      <c r="AA53" s="2" t="n">
        <v>624</v>
      </c>
      <c r="AB53" s="2" t="n">
        <v>375</v>
      </c>
      <c r="AC53" s="2" t="n">
        <v>999</v>
      </c>
    </row>
    <row r="54">
      <c r="A54" s="2" t="inlineStr">
        <is>
          <t>2026-03-26</t>
        </is>
      </c>
      <c r="B54" s="2" t="n">
        <v>8</v>
      </c>
      <c r="C54" s="2" t="inlineStr">
        <is>
          <t>DELOAD</t>
        </is>
      </c>
      <c r="D54" s="2" t="inlineStr">
        <is>
          <t>Thursday</t>
        </is>
      </c>
      <c r="E54" s="2" t="inlineStr">
        <is>
          <t>Warm-up:
• 10 min @ 65–70% FTP
• 3×1 min @ 105% FTP (1 min @ 60% FTP between)
Main set:
• 2×15 min @ 268–277W (~85–88% FTP)
  – Recovery: 5 min @ 60% FTP
Cooldown:
• 10 min @ 60–65% FTP</t>
        </is>
      </c>
      <c r="F54" s="2" t="n"/>
      <c r="G54" s="2" t="n"/>
      <c r="H54" s="2" t="inlineStr">
        <is>
          <t>Bike: 60–70 g/h. 500–750 ml/h.</t>
        </is>
      </c>
      <c r="I54" s="2" t="inlineStr">
        <is>
          <t>3100 kcal | 160P 458C 70F  (meals sum: 3102 kcal | 160P 458C 70F)</t>
        </is>
      </c>
      <c r="J54" s="2" t="inlineStr">
        <is>
          <t>0P 30C 0F</t>
        </is>
      </c>
      <c r="K54" s="2" t="inlineStr">
        <is>
          <t>0P 60C 0F</t>
        </is>
      </c>
      <c r="L54" s="2" t="inlineStr">
        <is>
          <t>42P 94C 15F</t>
        </is>
      </c>
      <c r="M54" s="2" t="inlineStr">
        <is>
          <t>40P 112C 20F</t>
        </is>
      </c>
      <c r="N54" s="2" t="inlineStr">
        <is>
          <t>25P 60C 10F</t>
        </is>
      </c>
      <c r="O54" s="2" t="inlineStr">
        <is>
          <t>33P 92C 20F</t>
        </is>
      </c>
      <c r="P54" s="2" t="inlineStr">
        <is>
          <t>20P 10C 5F</t>
        </is>
      </c>
      <c r="Q54" s="2" t="inlineStr">
        <is>
          <t>• Daily base: Creatine 5g AM; Omega-3 (2g EPA/DHA) with meal; Vitamin D3 2000 IU (winter) unless already; Magnesium glycinate 300–400mg PM; Glycine 3g + Taurine 1–2g + Inositol 2g + L-theanine 200mg PM.
• Beta-alanine: 3.2g/day split 1.6g AM + 1.6g PM (8–10 wk load).
• Optional: Caffeine 100–200mg 30–45' pre (only if sleep stable; pair with 100mg theanine).
• Optional: Tongkat Ali 200–400mg AM (cycle 5 days on / weekend off).</t>
        </is>
      </c>
      <c r="R54" s="2" t="inlineStr">
        <is>
          <t>After ride: 10 min easy + couch stretch 2×45s/side + thoracic mobility. Flexbeam 10–15 min.</t>
        </is>
      </c>
      <c r="S54" s="2" t="inlineStr">
        <is>
          <t>1×15 min.</t>
        </is>
      </c>
      <c r="T54" s="2" t="inlineStr">
        <is>
          <t>2×15 min @ 88%.</t>
        </is>
      </c>
      <c r="U54" s="2" t="n"/>
      <c r="V54" s="2" t="n">
        <v>65</v>
      </c>
      <c r="W54" s="2" t="n">
        <v>0</v>
      </c>
      <c r="X54" s="2" t="n">
        <v>0</v>
      </c>
      <c r="Y54" s="2" t="n">
        <v>65</v>
      </c>
      <c r="Z54" s="2" t="n">
        <v>621</v>
      </c>
      <c r="AA54" s="2" t="n">
        <v>0</v>
      </c>
      <c r="AB54" s="2" t="n">
        <v>0</v>
      </c>
      <c r="AC54" s="2" t="n">
        <v>621</v>
      </c>
    </row>
    <row r="55">
      <c r="A55" s="2" t="inlineStr">
        <is>
          <t>2026-03-27</t>
        </is>
      </c>
      <c r="B55" s="2" t="n">
        <v>8</v>
      </c>
      <c r="C55" s="2" t="inlineStr">
        <is>
          <t>DELOAD</t>
        </is>
      </c>
      <c r="D55" s="2" t="inlineStr">
        <is>
          <t>Friday</t>
        </is>
      </c>
      <c r="E55" s="2" t="inlineStr">
        <is>
          <t>40min Z2 (run replacement)</t>
        </is>
      </c>
      <c r="F55" s="2" t="inlineStr">
        <is>
          <t>Replaced with Z2 bike</t>
        </is>
      </c>
      <c r="G55" s="2" t="inlineStr">
        <is>
          <t>Full-body (Deload hypertrophy):
A: Goblet squat 2×10 @ RPE 6–7
B: RDL 2×8 @ RPE 7
C: Incline DB press 2×10 @ RPE 7
D: Lat pulldown 2×10 @ RPE 7
E: Hip thrust 2×10 @ RPE 7
F: Calves 2×12
G: Optional arms 1–2 sets
Keep it short (45–55 min).</t>
        </is>
      </c>
      <c r="H55" s="2" t="n"/>
      <c r="I55" s="2" t="inlineStr">
        <is>
          <t>3000 kcal | 170P 400C 80F  (meals sum: 3000 kcal | 170P 400C 80F)</t>
        </is>
      </c>
      <c r="J55" s="2" t="inlineStr">
        <is>
          <t>0P 25C 0F</t>
        </is>
      </c>
      <c r="K55" s="2" t="inlineStr">
        <is>
          <t>0P 0C 0F</t>
        </is>
      </c>
      <c r="L55" s="2" t="inlineStr">
        <is>
          <t>48P 126C 15F</t>
        </is>
      </c>
      <c r="M55" s="2" t="inlineStr">
        <is>
          <t>40P 108C 26F</t>
        </is>
      </c>
      <c r="N55" s="2" t="inlineStr">
        <is>
          <t>25P 45C 10F</t>
        </is>
      </c>
      <c r="O55" s="2" t="inlineStr">
        <is>
          <t>37P 81C 24F</t>
        </is>
      </c>
      <c r="P55" s="2" t="inlineStr">
        <is>
          <t>20P 15C 5F</t>
        </is>
      </c>
      <c r="Q55" s="2" t="inlineStr">
        <is>
          <t>• Daily base: Creatine 5g AM; Omega-3 (2g EPA/DHA) with meal; Vitamin D3 2000 IU (winter) unless already; Magnesium glycinate 300–400mg PM; Glycine 3g + Taurine 1–2g + Inositol 2g + L-theanine 200mg PM.
• Beta-alanine: 3.2g/day split 1.6g AM + 1.6g PM (8–10 wk load).
• Optional: Caffeine 100–200mg 30–45' pre (only if sleep stable; pair with 100mg theanine).
• Optional: Tongkat Ali 200–400mg AM (cycle 5 days on / weekend off).</t>
        </is>
      </c>
      <c r="R55" s="2" t="inlineStr">
        <is>
          <t>Foam roll light 6–8 min + 8–12 min downshift (NSDR or box breathing).</t>
        </is>
      </c>
      <c r="S55" s="2" t="n"/>
      <c r="T55" s="2" t="n"/>
      <c r="U55" s="2" t="n"/>
      <c r="V55" s="2" t="n">
        <v>40</v>
      </c>
      <c r="W55" s="2" t="n">
        <v>0</v>
      </c>
      <c r="X55" s="2" t="n">
        <v>50</v>
      </c>
      <c r="Y55" s="2" t="n">
        <v>80</v>
      </c>
      <c r="Z55" s="2" t="n">
        <v>0</v>
      </c>
      <c r="AA55" s="2" t="n">
        <v>468</v>
      </c>
      <c r="AB55" s="2" t="n">
        <v>375</v>
      </c>
      <c r="AC55" s="2" t="n">
        <v>843</v>
      </c>
    </row>
    <row r="56">
      <c r="A56" s="2" t="inlineStr">
        <is>
          <t>2026-03-28</t>
        </is>
      </c>
      <c r="B56" s="2" t="n">
        <v>8</v>
      </c>
      <c r="C56" s="2" t="inlineStr">
        <is>
          <t>DELOAD</t>
        </is>
      </c>
      <c r="D56" s="2" t="inlineStr">
        <is>
          <t>Saturday</t>
        </is>
      </c>
      <c r="E56" s="2" t="inlineStr">
        <is>
          <t>Long ride 3.5h. HR cap ≤78% HRmax. Power cap ≤270W (≤86% FTP). Include 4–6×5 min high-cadence (95–105rpm) sprinkled in. Keep it purely aerobic; no ‘race-pace’ finish.</t>
        </is>
      </c>
      <c r="F56" s="2" t="n"/>
      <c r="G56" s="2" t="n"/>
      <c r="H56" s="2" t="inlineStr">
        <is>
          <t>Long: 80–90 g/h. Sodium 700–1000 mg/h. Start fueling at 15'.</t>
        </is>
      </c>
      <c r="I56" s="2" t="inlineStr">
        <is>
          <t>4000 kcal | 160P 660C 80F  (meals sum: 4000 kcal | 160P 660C 80F)</t>
        </is>
      </c>
      <c r="J56" s="2" t="inlineStr">
        <is>
          <t>0P 30C 0F</t>
        </is>
      </c>
      <c r="K56" s="2" t="inlineStr">
        <is>
          <t>0P 298C 0F</t>
        </is>
      </c>
      <c r="L56" s="2" t="inlineStr">
        <is>
          <t>42P 88C 15F</t>
        </is>
      </c>
      <c r="M56" s="2" t="inlineStr">
        <is>
          <t>40P 94C 26F</t>
        </is>
      </c>
      <c r="N56" s="2" t="inlineStr">
        <is>
          <t>25P 60C 10F</t>
        </is>
      </c>
      <c r="O56" s="2" t="inlineStr">
        <is>
          <t>33P 80C 24F</t>
        </is>
      </c>
      <c r="P56" s="2" t="inlineStr">
        <is>
          <t>20P 10C 5F</t>
        </is>
      </c>
      <c r="Q56" s="2" t="inlineStr">
        <is>
          <t>• Daily base: Creatine 5g AM; Omega-3 (2g EPA/DHA) with meal; Vitamin D3 2000 IU (winter) unless already; Magnesium glycinate 300–400mg PM; Glycine 3g + Taurine 1–2g + Inositol 2g + L-theanine 200mg PM.
• Beta-alanine: 3.2g/day split 1.6g AM + 1.6g PM (8–10 wk load).
• Optional: Caffeine 100–200mg 30–45' pre (only if sleep stable; pair with 100mg theanine).
• Optional: Tongkat Ali 200–400mg AM (cycle 5 days on / weekend off).</t>
        </is>
      </c>
      <c r="R56" s="2" t="inlineStr">
        <is>
          <t>After long ride: 10–15 min walk + legs up the wall 5 min. No deep stretching. Flexbeam optional 10 min if knee/hamstring niggles.</t>
        </is>
      </c>
      <c r="S56" s="2" t="inlineStr">
        <is>
          <t>Cut duration by 30–45 min.</t>
        </is>
      </c>
      <c r="T56" s="2" t="inlineStr">
        <is>
          <t>Add 15–20 min (outdoors) OR add 20 min upper Z2 late.</t>
        </is>
      </c>
      <c r="U56" s="2" t="inlineStr">
        <is>
          <t>Winter options: If icy/dark, do indoor split (AM+PM) OR 2–3h XC ski (Z2) + 60–90 min easy trainer later. Keep fueling totals.</t>
        </is>
      </c>
      <c r="V56" s="2" t="n">
        <v>210</v>
      </c>
      <c r="W56" s="2" t="n">
        <v>0</v>
      </c>
      <c r="X56" s="2" t="n">
        <v>0</v>
      </c>
      <c r="Y56" s="2" t="n">
        <v>210</v>
      </c>
      <c r="Z56" s="2" t="n">
        <v>2293</v>
      </c>
      <c r="AA56" s="2" t="n">
        <v>0</v>
      </c>
      <c r="AB56" s="2" t="n">
        <v>0</v>
      </c>
      <c r="AC56" s="2" t="n">
        <v>2293</v>
      </c>
    </row>
    <row r="57">
      <c r="A57" s="2" t="inlineStr">
        <is>
          <t>2026-03-29</t>
        </is>
      </c>
      <c r="B57" s="2" t="n">
        <v>8</v>
      </c>
      <c r="C57" s="2" t="inlineStr">
        <is>
          <t>DELOAD</t>
        </is>
      </c>
      <c r="D57" s="2" t="inlineStr">
        <is>
          <t>Sunday</t>
        </is>
      </c>
      <c r="E57" s="2" t="n"/>
      <c r="F57" s="2" t="n"/>
      <c r="G57" s="2" t="n"/>
      <c r="H57" s="2" t="n"/>
      <c r="I57" s="2" t="inlineStr">
        <is>
          <t>2500 kcal | 160P 262C 90F  (meals sum: 2498 kcal | 160P 262C 90F)</t>
        </is>
      </c>
      <c r="J57" s="2" t="inlineStr">
        <is>
          <t>0P 0C 0F</t>
        </is>
      </c>
      <c r="K57" s="2" t="inlineStr">
        <is>
          <t>0P 0C 0F</t>
        </is>
      </c>
      <c r="L57" s="2" t="inlineStr">
        <is>
          <t>42P 75C 15F</t>
        </is>
      </c>
      <c r="M57" s="2" t="inlineStr">
        <is>
          <t>40P 69C 31F</t>
        </is>
      </c>
      <c r="N57" s="2" t="inlineStr">
        <is>
          <t>25P 45C 10F</t>
        </is>
      </c>
      <c r="O57" s="2" t="inlineStr">
        <is>
          <t>33P 58C 29F</t>
        </is>
      </c>
      <c r="P57" s="2" t="inlineStr">
        <is>
          <t>20P 15C 5F</t>
        </is>
      </c>
      <c r="Q57" s="2" t="inlineStr">
        <is>
          <t>• Daily base: Creatine 5g AM; Omega-3 (2g EPA/DHA) with meal; Vitamin D3 2000 IU (winter) unless already; Magnesium glycinate 300–400mg PM; Glycine 3g + Taurine 1–2g + Inositol 2g + L-theanine 200mg PM.
• Beta-alanine: 3.2g/day split 1.6g AM + 1.6g PM (8–10 wk load).
• Optional: Caffeine 100–200mg 30–45' pre (only if sleep stable; pair with 100mg theanine).
• Optional: Tongkat Ali 200–400mg AM (cycle 5 days on / weekend off).</t>
        </is>
      </c>
      <c r="R57" s="2" t="inlineStr">
        <is>
          <t>Full rest. 20–30 min easy walk + 10 min mobility if you feel stiff. Limit screen stress at night.</t>
        </is>
      </c>
      <c r="S57" s="2" t="n"/>
      <c r="T57" s="2" t="n"/>
      <c r="U57" s="2" t="n"/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</row>
    <row r="58">
      <c r="A58" s="2" t="inlineStr">
        <is>
          <t>2026-03-30</t>
        </is>
      </c>
      <c r="B58" s="2" t="n">
        <v>9</v>
      </c>
      <c r="C58" s="2" t="inlineStr">
        <is>
          <t>BUILD</t>
        </is>
      </c>
      <c r="D58" s="2" t="inlineStr">
        <is>
          <t>Monday</t>
        </is>
      </c>
      <c r="E58" s="2" t="inlineStr">
        <is>
          <t>Bike – FTP 14x3min (30s rest) @95–98% FTP (deload) + 53min Z2 (run replacement)</t>
        </is>
      </c>
      <c r="F58" s="2" t="inlineStr">
        <is>
          <t>Replaced with Z2 bike</t>
        </is>
      </c>
      <c r="G58" s="2" t="inlineStr">
        <is>
          <t>Upper body + core (optional 45–60 min):
A: Bench or OHP 4×6 @ RPE 7
B: Pull-ups or pulldown 4×6–10
C: DB row 3×10
D: Lateral raise 3×12–15
E: Triceps + biceps 2–3×10–15
F: Core: Pallof press 3×10/side + plank 2×45–60s
Keep this away from failure.
Added (moderate load, post-bike):
• Bulgarian Split Squat or Step-Up
  3×6–8 / leg @ RIR 2–3
  Controlled eccentric, no grind</t>
        </is>
      </c>
      <c r="H58" s="2" t="inlineStr">
        <is>
          <t>Bike: 60–80 g/h (mix glucose+fructose). 500–750 ml/h + sodium 500–800 mg/h.</t>
        </is>
      </c>
      <c r="I58" s="2" t="inlineStr">
        <is>
          <t>3300 kcal | 165P 502C 70F  (meals sum: 3298 kcal | 165P 502C 70F)</t>
        </is>
      </c>
      <c r="J58" s="2" t="inlineStr">
        <is>
          <t>0P 30C 0F</t>
        </is>
      </c>
      <c r="K58" s="2" t="inlineStr">
        <is>
          <t>0P 70C 0F</t>
        </is>
      </c>
      <c r="L58" s="2" t="inlineStr">
        <is>
          <t>45P 109C 15F</t>
        </is>
      </c>
      <c r="M58" s="2" t="inlineStr">
        <is>
          <t>40P 125C 20F</t>
        </is>
      </c>
      <c r="N58" s="2" t="inlineStr">
        <is>
          <t>25P 60C 10F</t>
        </is>
      </c>
      <c r="O58" s="2" t="inlineStr">
        <is>
          <t>35P 98C 20F</t>
        </is>
      </c>
      <c r="P58" s="2" t="inlineStr">
        <is>
          <t>20P 10C 5F</t>
        </is>
      </c>
      <c r="Q58" s="2" t="inlineStr">
        <is>
          <t>• Daily base: Creatine 5g AM; Omega-3 (2g EPA/DHA) with meal; Vitamin D3 2000 IU (winter) unless already; Magnesium glycinate 300–400mg PM; Glycine 3g + Taurine 1–2g + Inositol 2g + L-theanine 200mg PM.
• Beta-alanine: 3.2g/day split 1.6g AM + 1.6g PM (8–10 wk load).
• Optional: Caffeine 100–200mg 30–45' pre (only if sleep stable; pair with 100mg theanine).
• Optional: Tongkat Ali 200–400mg AM (cycle 5 days on / weekend off).</t>
        </is>
      </c>
      <c r="R58" s="2" t="inlineStr">
        <is>
          <t>Post: 5–8 min easy spin-down + 5 min nasal breathing. Evening: Flexbeam 10–15 min + gentle hamstring nerve glide (NOT aggressive stretching).</t>
        </is>
      </c>
      <c r="S58" s="2" t="inlineStr">
        <is>
          <t>3×12 min.</t>
        </is>
      </c>
      <c r="T58" s="2" t="inlineStr">
        <is>
          <t>Shorten recoveries to 5 min.</t>
        </is>
      </c>
      <c r="U58" s="2" t="n"/>
      <c r="V58" s="2" t="n">
        <v>132</v>
      </c>
      <c r="W58" s="2" t="n">
        <v>0</v>
      </c>
      <c r="X58" s="2" t="n">
        <v>0</v>
      </c>
      <c r="Y58" s="2" t="n">
        <v>119</v>
      </c>
      <c r="Z58" s="2" t="n">
        <v>1294</v>
      </c>
      <c r="AA58" s="2" t="n">
        <v>624</v>
      </c>
      <c r="AB58" s="2" t="n">
        <v>0</v>
      </c>
      <c r="AC58" s="2" t="n">
        <v>1918</v>
      </c>
    </row>
    <row r="59">
      <c r="A59" s="2" t="inlineStr">
        <is>
          <t>2026-03-31</t>
        </is>
      </c>
      <c r="B59" s="2" t="n">
        <v>9</v>
      </c>
      <c r="C59" s="2" t="inlineStr">
        <is>
          <t>BUILD</t>
        </is>
      </c>
      <c r="D59" s="2" t="inlineStr">
        <is>
          <t>Tuesday</t>
        </is>
      </c>
      <c r="E59" s="2" t="inlineStr">
        <is>
          <t>OFF or 45–60 min Z2 @ 205–235W (65–75% FTP) (65–75% FTP).</t>
        </is>
      </c>
      <c r="F59" s="2" t="inlineStr">
        <is>
          <t>Easy 40 min (≤75% HRmax).</t>
        </is>
      </c>
      <c r="G59" s="2" t="n"/>
      <c r="H59" s="2" t="n"/>
      <c r="I59" s="2" t="inlineStr">
        <is>
          <t>2800 kcal | 160P 360C 80F  (meals sum: 2800 kcal | 160P 360C 80F)</t>
        </is>
      </c>
      <c r="J59" s="2" t="inlineStr">
        <is>
          <t>0P 25C 0F</t>
        </is>
      </c>
      <c r="K59" s="2" t="inlineStr">
        <is>
          <t>0P 0C 0F</t>
        </is>
      </c>
      <c r="L59" s="2" t="inlineStr">
        <is>
          <t>42P 108C 15F</t>
        </is>
      </c>
      <c r="M59" s="2" t="inlineStr">
        <is>
          <t>40P 94C 26F</t>
        </is>
      </c>
      <c r="N59" s="2" t="inlineStr">
        <is>
          <t>25P 45C 10F</t>
        </is>
      </c>
      <c r="O59" s="2" t="inlineStr">
        <is>
          <t>33P 73C 24F</t>
        </is>
      </c>
      <c r="P59" s="2" t="inlineStr">
        <is>
          <t>20P 15C 5F</t>
        </is>
      </c>
      <c r="Q59" s="2" t="inlineStr">
        <is>
          <t>• Daily base: Creatine 5g AM; Omega-3 (2g EPA/DHA) with meal; Vitamin D3 2000 IU (winter) unless already; Magnesium glycinate 300–400mg PM; Glycine 3g + Taurine 1–2g + Inositol 2g + L-theanine 200mg PM.
• Beta-alanine: 3.2g/day split 1.6g AM + 1.6g PM (8–10 wk load).
• Optional: Caffeine 100–200mg 30–45' pre (only if sleep stable; pair with 100mg theanine).
• Optional: Tongkat Ali 200–400mg AM (cycle 5 days on / weekend off).</t>
        </is>
      </c>
      <c r="R59" s="2" t="inlineStr">
        <is>
          <t>Foam roll calves/quads 8–10 min + hip mobility 8 min. Flexbeam optional 10 min if hamstring feels tight.</t>
        </is>
      </c>
      <c r="S59" s="2" t="inlineStr">
        <is>
          <t>OFF.</t>
        </is>
      </c>
      <c r="T59" s="2" t="inlineStr">
        <is>
          <t>Add 10 min easy if time.</t>
        </is>
      </c>
      <c r="U59" s="2" t="n"/>
      <c r="V59" s="2" t="n">
        <v>0</v>
      </c>
      <c r="W59" s="2" t="n">
        <v>0</v>
      </c>
      <c r="X59" s="2" t="n">
        <v>50</v>
      </c>
      <c r="Y59" s="2" t="n">
        <v>50</v>
      </c>
      <c r="Z59" s="2" t="n">
        <v>0</v>
      </c>
      <c r="AA59" s="2" t="n">
        <v>0</v>
      </c>
      <c r="AB59" s="2" t="n">
        <v>375</v>
      </c>
      <c r="AC59" s="2" t="n">
        <v>375</v>
      </c>
    </row>
    <row r="60">
      <c r="A60" s="2" t="inlineStr">
        <is>
          <t>2026-04-01</t>
        </is>
      </c>
      <c r="B60" s="2" t="n">
        <v>9</v>
      </c>
      <c r="C60" s="2" t="inlineStr">
        <is>
          <t>BUILD</t>
        </is>
      </c>
      <c r="D60" s="2" t="inlineStr">
        <is>
          <t>Wednesday</t>
        </is>
      </c>
      <c r="E60" s="2" t="inlineStr">
        <is>
          <t>80min Z2 (run replacement)</t>
        </is>
      </c>
      <c r="F60" s="2" t="inlineStr">
        <is>
          <t>Replaced with Z2 bike</t>
        </is>
      </c>
      <c r="G60" s="2" t="inlineStr">
        <is>
          <t>Full-body (Heavy bias):
A: Trap bar DL 5×4 @ RPE 7–8 (volume rebound)
B: Bench press 4×5 @ RPE 7–8
C: Split squat 3×6–8/leg @ RPE 8
D: Chest-supported row 4×6–8 @ RPE 7–8
E: Hamstring ecc (Nordic OR slider) 3×6–10 (slow 3–4s down)
F: Calf raise 3×10–12
G: Anti-rotation core 3×8–10/side
Rest: 2–3 min big lifts; 60–90" accessories.</t>
        </is>
      </c>
      <c r="H60" s="2" t="n"/>
      <c r="I60" s="2" t="inlineStr">
        <is>
          <t>3000 kcal | 170P 400C 80F  (meals sum: 3000 kcal | 170P 400C 80F)</t>
        </is>
      </c>
      <c r="J60" s="2" t="inlineStr">
        <is>
          <t>0P 25C 0F</t>
        </is>
      </c>
      <c r="K60" s="2" t="inlineStr">
        <is>
          <t>0P 0C 0F</t>
        </is>
      </c>
      <c r="L60" s="2" t="inlineStr">
        <is>
          <t>48P 126C 15F</t>
        </is>
      </c>
      <c r="M60" s="2" t="inlineStr">
        <is>
          <t>40P 108C 26F</t>
        </is>
      </c>
      <c r="N60" s="2" t="inlineStr">
        <is>
          <t>25P 45C 10F</t>
        </is>
      </c>
      <c r="O60" s="2" t="inlineStr">
        <is>
          <t>37P 81C 24F</t>
        </is>
      </c>
      <c r="P60" s="2" t="inlineStr">
        <is>
          <t>20P 15C 5F</t>
        </is>
      </c>
      <c r="Q60" s="2" t="inlineStr">
        <is>
          <t>• Daily base: Creatine 5g AM; Omega-3 (2g EPA/DHA) with meal; Vitamin D3 2000 IU (winter) unless already; Magnesium glycinate 300–400mg PM; Glycine 3g + Taurine 1–2g + Inositol 2g + L-theanine 200mg PM.
• Beta-alanine: 3.2g/day split 1.6g AM + 1.6g PM (8–10 wk load).
• Optional: Caffeine 100–200mg 30–45' pre (only if sleep stable; pair with 100mg theanine).
• Optional: Tongkat Ali 200–400mg AM (cycle 5 days on / weekend off).</t>
        </is>
      </c>
      <c r="R60" s="2" t="inlineStr">
        <is>
          <t>After strength: massage gun glute/hamstring 6–8 min + light hip flexor stretch. Flexbeam 10 min if sore.</t>
        </is>
      </c>
      <c r="S60" s="2" t="n"/>
      <c r="T60" s="2" t="n"/>
      <c r="U60" s="2" t="n"/>
      <c r="V60" s="2" t="n">
        <v>80</v>
      </c>
      <c r="W60" s="2" t="n">
        <v>0</v>
      </c>
      <c r="X60" s="2" t="n">
        <v>75</v>
      </c>
      <c r="Y60" s="2" t="n">
        <v>135</v>
      </c>
      <c r="Z60" s="2" t="n">
        <v>0</v>
      </c>
      <c r="AA60" s="2" t="n">
        <v>936</v>
      </c>
      <c r="AB60" s="2" t="n">
        <v>563</v>
      </c>
      <c r="AC60" s="2" t="n">
        <v>1499</v>
      </c>
    </row>
    <row r="61">
      <c r="A61" s="2" t="inlineStr">
        <is>
          <t>2026-04-02</t>
        </is>
      </c>
      <c r="B61" s="2" t="n">
        <v>9</v>
      </c>
      <c r="C61" s="2" t="inlineStr">
        <is>
          <t>BUILD</t>
        </is>
      </c>
      <c r="D61" s="2" t="inlineStr">
        <is>
          <t>Thursday</t>
        </is>
      </c>
      <c r="E61" s="2" t="inlineStr">
        <is>
          <t>Warm-up:
• 10 min @ 65–70% FTP
• 3×1 min @ 105% FTP (1 min @ 60% FTP between)
Main set:
• 2×30 min @ 268–284W (~85–90% FTP)
  – Recovery: 5 min @ 60% FTP
Cooldown:
• 10 min @ 60–65% FTP</t>
        </is>
      </c>
      <c r="F61" s="2" t="n"/>
      <c r="G61" s="2" t="n"/>
      <c r="H61" s="2" t="inlineStr">
        <is>
          <t>Bike: 60–70 g/h. 500–750 ml/h.</t>
        </is>
      </c>
      <c r="I61" s="2" t="inlineStr">
        <is>
          <t>3100 kcal | 160P 458C 70F  (meals sum: 3102 kcal | 160P 458C 70F)</t>
        </is>
      </c>
      <c r="J61" s="2" t="inlineStr">
        <is>
          <t>0P 30C 0F</t>
        </is>
      </c>
      <c r="K61" s="2" t="inlineStr">
        <is>
          <t>0P 60C 0F</t>
        </is>
      </c>
      <c r="L61" s="2" t="inlineStr">
        <is>
          <t>42P 94C 15F</t>
        </is>
      </c>
      <c r="M61" s="2" t="inlineStr">
        <is>
          <t>40P 112C 20F</t>
        </is>
      </c>
      <c r="N61" s="2" t="inlineStr">
        <is>
          <t>25P 60C 10F</t>
        </is>
      </c>
      <c r="O61" s="2" t="inlineStr">
        <is>
          <t>33P 92C 20F</t>
        </is>
      </c>
      <c r="P61" s="2" t="inlineStr">
        <is>
          <t>20P 10C 5F</t>
        </is>
      </c>
      <c r="Q61" s="2" t="inlineStr">
        <is>
          <t>• Daily base: Creatine 5g AM; Omega-3 (2g EPA/DHA) with meal; Vitamin D3 2000 IU (winter) unless already; Magnesium glycinate 300–400mg PM; Glycine 3g + Taurine 1–2g + Inositol 2g + L-theanine 200mg PM.
• Beta-alanine: 3.2g/day split 1.6g AM + 1.6g PM (8–10 wk load).
• Optional: Caffeine 100–200mg 30–45' pre (only if sleep stable; pair with 100mg theanine).
• Optional: Tongkat Ali 200–400mg AM (cycle 5 days on / weekend off).</t>
        </is>
      </c>
      <c r="R61" s="2" t="inlineStr">
        <is>
          <t>After ride: 10 min easy + couch stretch 2×45s/side + thoracic mobility. Flexbeam 10–15 min.</t>
        </is>
      </c>
      <c r="S61" s="2" t="inlineStr">
        <is>
          <t>2×25 min @ 85%.</t>
        </is>
      </c>
      <c r="T61" s="2" t="inlineStr">
        <is>
          <t>2×35 min @ 88%.</t>
        </is>
      </c>
      <c r="U61" s="2" t="n"/>
      <c r="V61" s="2" t="n">
        <v>90</v>
      </c>
      <c r="W61" s="2" t="n">
        <v>0</v>
      </c>
      <c r="X61" s="2" t="n">
        <v>0</v>
      </c>
      <c r="Y61" s="2" t="n">
        <v>90</v>
      </c>
      <c r="Z61" s="2" t="n">
        <v>1228</v>
      </c>
      <c r="AA61" s="2" t="n">
        <v>0</v>
      </c>
      <c r="AB61" s="2" t="n">
        <v>0</v>
      </c>
      <c r="AC61" s="2" t="n">
        <v>1228</v>
      </c>
    </row>
    <row r="62">
      <c r="A62" s="2" t="inlineStr">
        <is>
          <t>2026-04-03</t>
        </is>
      </c>
      <c r="B62" s="2" t="n">
        <v>9</v>
      </c>
      <c r="C62" s="2" t="inlineStr">
        <is>
          <t>BUILD</t>
        </is>
      </c>
      <c r="D62" s="2" t="inlineStr">
        <is>
          <t>Friday</t>
        </is>
      </c>
      <c r="E62" s="2" t="inlineStr">
        <is>
          <t>60min Z2 (run replacement)</t>
        </is>
      </c>
      <c r="F62" s="2" t="inlineStr">
        <is>
          <t>Replaced with Z2 bike</t>
        </is>
      </c>
      <c r="G62" s="2" t="inlineStr">
        <is>
          <t>Full-body (Hypertrophy bias, 60–75 min):
A: Front-foot elevated split squat 3×10/leg @ RPE 7–8
B: RDL (DB or bar) 3×8 @ RPE 7–8
C: Hip thrust 3×10 @ RPE 7–8
D: Incline DB press 4×8–12 @ RPE 7–8
E: Lat pulldown or pull-ups 4×8–12
F: Seated cable row 3×10–12
G: Calf raise 3×12–15
H: Core (dead bug / side plank) 2–3 sets
Progression: add reps until top of range, then +2–5% load.</t>
        </is>
      </c>
      <c r="H62" s="2" t="n"/>
      <c r="I62" s="2" t="inlineStr">
        <is>
          <t>3000 kcal | 170P 400C 80F  (meals sum: 3000 kcal | 170P 400C 80F)</t>
        </is>
      </c>
      <c r="J62" s="2" t="inlineStr">
        <is>
          <t>0P 25C 0F</t>
        </is>
      </c>
      <c r="K62" s="2" t="inlineStr">
        <is>
          <t>0P 0C 0F</t>
        </is>
      </c>
      <c r="L62" s="2" t="inlineStr">
        <is>
          <t>48P 126C 15F</t>
        </is>
      </c>
      <c r="M62" s="2" t="inlineStr">
        <is>
          <t>40P 108C 26F</t>
        </is>
      </c>
      <c r="N62" s="2" t="inlineStr">
        <is>
          <t>25P 45C 10F</t>
        </is>
      </c>
      <c r="O62" s="2" t="inlineStr">
        <is>
          <t>37P 81C 24F</t>
        </is>
      </c>
      <c r="P62" s="2" t="inlineStr">
        <is>
          <t>20P 15C 5F</t>
        </is>
      </c>
      <c r="Q62" s="2" t="inlineStr">
        <is>
          <t>• Daily base: Creatine 5g AM; Omega-3 (2g EPA/DHA) with meal; Vitamin D3 2000 IU (winter) unless already; Magnesium glycinate 300–400mg PM; Glycine 3g + Taurine 1–2g + Inositol 2g + L-theanine 200mg PM.
• Beta-alanine: 3.2g/day split 1.6g AM + 1.6g PM (8–10 wk load).
• Optional: Caffeine 100–200mg 30–45' pre (only if sleep stable; pair with 100mg theanine).
• Optional: Tongkat Ali 200–400mg AM (cycle 5 days on / weekend off).</t>
        </is>
      </c>
      <c r="R62" s="2" t="inlineStr">
        <is>
          <t>Foam roll light 6–8 min + 8–12 min downshift (NSDR or box breathing).</t>
        </is>
      </c>
      <c r="S62" s="2" t="n"/>
      <c r="T62" s="2" t="n"/>
      <c r="U62" s="2" t="n"/>
      <c r="V62" s="2" t="n">
        <v>60</v>
      </c>
      <c r="W62" s="2" t="n">
        <v>0</v>
      </c>
      <c r="X62" s="2" t="n">
        <v>75</v>
      </c>
      <c r="Y62" s="2" t="n">
        <v>120</v>
      </c>
      <c r="Z62" s="2" t="n">
        <v>0</v>
      </c>
      <c r="AA62" s="2" t="n">
        <v>702</v>
      </c>
      <c r="AB62" s="2" t="n">
        <v>563</v>
      </c>
      <c r="AC62" s="2" t="n">
        <v>1265</v>
      </c>
    </row>
    <row r="63">
      <c r="A63" s="2" t="inlineStr">
        <is>
          <t>2026-04-04</t>
        </is>
      </c>
      <c r="B63" s="2" t="n">
        <v>9</v>
      </c>
      <c r="C63" s="2" t="inlineStr">
        <is>
          <t>BUILD</t>
        </is>
      </c>
      <c r="D63" s="2" t="inlineStr">
        <is>
          <t>Saturday</t>
        </is>
      </c>
      <c r="E63" s="2" t="inlineStr">
        <is>
          <t>Long ride 4.5h. HR cap ≤78% HRmax. Power cap ≤270W (≤86% FTP). Include 4–6×5 min high-cadence (95–105rpm) sprinkled in. If feeling strong: last 45–60 min steady @ 245–265W (upper Z2) while HR stays controlled.</t>
        </is>
      </c>
      <c r="F63" s="2" t="n"/>
      <c r="G63" s="2" t="n"/>
      <c r="H63" s="2" t="inlineStr">
        <is>
          <t>Long: 80–90 g/h. Sodium 700–1000 mg/h. Start fueling at 15'.</t>
        </is>
      </c>
      <c r="I63" s="2" t="inlineStr">
        <is>
          <t>4000 kcal | 160P 660C 80F  (meals sum: 4000 kcal | 160P 660C 80F)</t>
        </is>
      </c>
      <c r="J63" s="2" t="inlineStr">
        <is>
          <t>0P 30C 0F</t>
        </is>
      </c>
      <c r="K63" s="2" t="inlineStr">
        <is>
          <t>0P 382C 0F</t>
        </is>
      </c>
      <c r="L63" s="2" t="inlineStr">
        <is>
          <t>42P 51C 15F</t>
        </is>
      </c>
      <c r="M63" s="2" t="inlineStr">
        <is>
          <t>40P 63C 26F</t>
        </is>
      </c>
      <c r="N63" s="2" t="inlineStr">
        <is>
          <t>25P 60C 10F</t>
        </is>
      </c>
      <c r="O63" s="2" t="inlineStr">
        <is>
          <t>33P 64C 24F</t>
        </is>
      </c>
      <c r="P63" s="2" t="inlineStr">
        <is>
          <t>20P 10C 5F</t>
        </is>
      </c>
      <c r="Q63" s="2" t="inlineStr">
        <is>
          <t>• Daily base: Creatine 5g AM; Omega-3 (2g EPA/DHA) with meal; Vitamin D3 2000 IU (winter) unless already; Magnesium glycinate 300–400mg PM; Glycine 3g + Taurine 1–2g + Inositol 2g + L-theanine 200mg PM.
• Beta-alanine: 3.2g/day split 1.6g AM + 1.6g PM (8–10 wk load).
• Optional: Caffeine 100–200mg 30–45' pre (only if sleep stable; pair with 100mg theanine).
• Optional: Tongkat Ali 200–400mg AM (cycle 5 days on / weekend off).</t>
        </is>
      </c>
      <c r="R63" s="2" t="inlineStr">
        <is>
          <t>After long ride: 10–15 min walk + legs up the wall 5 min. No deep stretching. Flexbeam optional 10 min if knee/hamstring niggles.</t>
        </is>
      </c>
      <c r="S63" s="2" t="inlineStr">
        <is>
          <t>Cut duration by 30–45 min.</t>
        </is>
      </c>
      <c r="T63" s="2" t="inlineStr">
        <is>
          <t>Add 15–20 min (outdoors) OR add 20 min upper Z2 late.</t>
        </is>
      </c>
      <c r="U63" s="2" t="inlineStr">
        <is>
          <t>Winter options: If icy/dark, do indoor split (AM+PM) OR 2–3h XC ski (Z2) + 60–90 min easy trainer later. Keep fueling totals.</t>
        </is>
      </c>
      <c r="V63" s="2" t="n">
        <v>270</v>
      </c>
      <c r="W63" s="2" t="n">
        <v>0</v>
      </c>
      <c r="X63" s="2" t="n">
        <v>0</v>
      </c>
      <c r="Y63" s="2" t="n">
        <v>270</v>
      </c>
      <c r="Z63" s="2" t="n">
        <v>2948</v>
      </c>
      <c r="AA63" s="2" t="n">
        <v>0</v>
      </c>
      <c r="AB63" s="2" t="n">
        <v>0</v>
      </c>
      <c r="AC63" s="2" t="n">
        <v>2948</v>
      </c>
    </row>
    <row r="64">
      <c r="A64" s="2" t="inlineStr">
        <is>
          <t>2026-04-05</t>
        </is>
      </c>
      <c r="B64" s="2" t="n">
        <v>9</v>
      </c>
      <c r="C64" s="2" t="inlineStr">
        <is>
          <t>BUILD</t>
        </is>
      </c>
      <c r="D64" s="2" t="inlineStr">
        <is>
          <t>Sunday</t>
        </is>
      </c>
      <c r="E64" s="2" t="n"/>
      <c r="F64" s="2" t="n"/>
      <c r="G64" s="2" t="n"/>
      <c r="H64" s="2" t="n"/>
      <c r="I64" s="2" t="inlineStr">
        <is>
          <t>2500 kcal | 160P 262C 90F  (meals sum: 2498 kcal | 160P 262C 90F)</t>
        </is>
      </c>
      <c r="J64" s="2" t="inlineStr">
        <is>
          <t>0P 0C 0F</t>
        </is>
      </c>
      <c r="K64" s="2" t="inlineStr">
        <is>
          <t>0P 0C 0F</t>
        </is>
      </c>
      <c r="L64" s="2" t="inlineStr">
        <is>
          <t>42P 75C 15F</t>
        </is>
      </c>
      <c r="M64" s="2" t="inlineStr">
        <is>
          <t>40P 69C 31F</t>
        </is>
      </c>
      <c r="N64" s="2" t="inlineStr">
        <is>
          <t>25P 45C 10F</t>
        </is>
      </c>
      <c r="O64" s="2" t="inlineStr">
        <is>
          <t>33P 58C 29F</t>
        </is>
      </c>
      <c r="P64" s="2" t="inlineStr">
        <is>
          <t>20P 15C 5F</t>
        </is>
      </c>
      <c r="Q64" s="2" t="inlineStr">
        <is>
          <t>• Daily base: Creatine 5g AM; Omega-3 (2g EPA/DHA) with meal; Vitamin D3 2000 IU (winter) unless already; Magnesium glycinate 300–400mg PM; Glycine 3g + Taurine 1–2g + Inositol 2g + L-theanine 200mg PM.
• Beta-alanine: 3.2g/day split 1.6g AM + 1.6g PM (8–10 wk load).
• Optional: Caffeine 100–200mg 30–45' pre (only if sleep stable; pair with 100mg theanine).
• Optional: Tongkat Ali 200–400mg AM (cycle 5 days on / weekend off).</t>
        </is>
      </c>
      <c r="R64" s="2" t="inlineStr">
        <is>
          <t>Full rest. 20–30 min easy walk + 10 min mobility if you feel stiff. Limit screen stress at night.</t>
        </is>
      </c>
      <c r="S64" s="2" t="n"/>
      <c r="T64" s="2" t="n"/>
      <c r="U64" s="2" t="n"/>
      <c r="V64" s="2" t="n">
        <v>0</v>
      </c>
      <c r="W64" s="2" t="n">
        <v>0</v>
      </c>
      <c r="X64" s="2" t="n">
        <v>0</v>
      </c>
      <c r="Y64" s="2" t="n">
        <v>0</v>
      </c>
      <c r="Z64" s="2" t="n">
        <v>0</v>
      </c>
      <c r="AA64" s="2" t="n">
        <v>0</v>
      </c>
      <c r="AB64" s="2" t="n">
        <v>0</v>
      </c>
      <c r="AC64" s="2" t="n">
        <v>0</v>
      </c>
    </row>
    <row r="65">
      <c r="A65" s="2" t="inlineStr">
        <is>
          <t>2026-04-06</t>
        </is>
      </c>
      <c r="B65" s="2" t="n">
        <v>10</v>
      </c>
      <c r="C65" s="2" t="inlineStr">
        <is>
          <t>SHARPEN</t>
        </is>
      </c>
      <c r="D65" s="2" t="inlineStr">
        <is>
          <t>Monday</t>
        </is>
      </c>
      <c r="E65" s="2" t="inlineStr">
        <is>
          <t>Bike – FTP 18x3min (30s rest) @95–100% FTP + 46min Z2 (run replacement)</t>
        </is>
      </c>
      <c r="F65" s="2" t="inlineStr">
        <is>
          <t>Replaced with Z2 bike</t>
        </is>
      </c>
      <c r="G65" s="2" t="inlineStr">
        <is>
          <t>Upper body + core (optional 45–60 min):
A: Bench or OHP 4×6 @ RPE 7
B: Pull-ups or pulldown 4×6–10
C: DB row 3×10
D: Lateral raise 3×12–15
E: Triceps + biceps 2–3×10–15
F: Core: Pallof press 3×10/side + plank 2×45–60s
Keep this away from failure.
Added (moderate load, post-bike):
• Bulgarian Split Squat or Step-Up
  3×6–8 / leg @ RIR 2–3
  Controlled eccentric, no grind</t>
        </is>
      </c>
      <c r="H65" s="2" t="inlineStr">
        <is>
          <t>Bike: 60–80 g/h (mix glucose+fructose). 500–750 ml/h + sodium 500–800 mg/h.</t>
        </is>
      </c>
      <c r="I65" s="2" t="inlineStr">
        <is>
          <t>3300 kcal | 165P 502C 70F  (meals sum: 3298 kcal | 165P 502C 70F)</t>
        </is>
      </c>
      <c r="J65" s="2" t="inlineStr">
        <is>
          <t>0P 30C 0F</t>
        </is>
      </c>
      <c r="K65" s="2" t="inlineStr">
        <is>
          <t>0P 70C 0F</t>
        </is>
      </c>
      <c r="L65" s="2" t="inlineStr">
        <is>
          <t>45P 109C 15F</t>
        </is>
      </c>
      <c r="M65" s="2" t="inlineStr">
        <is>
          <t>40P 125C 20F</t>
        </is>
      </c>
      <c r="N65" s="2" t="inlineStr">
        <is>
          <t>25P 60C 10F</t>
        </is>
      </c>
      <c r="O65" s="2" t="inlineStr">
        <is>
          <t>35P 98C 20F</t>
        </is>
      </c>
      <c r="P65" s="2" t="inlineStr">
        <is>
          <t>20P 10C 5F</t>
        </is>
      </c>
      <c r="Q65" s="2" t="inlineStr">
        <is>
          <t>• Daily base: Creatine 5g AM; Omega-3 (2g EPA/DHA) with meal; Vitamin D3 2000 IU (winter) unless already; Magnesium glycinate 300–400mg PM; Glycine 3g + Taurine 1–2g + Inositol 2g + L-theanine 200mg PM.
• Beta-alanine: 3.2g/day split 1.6g AM + 1.6g PM (8–10 wk load).
• Optional: Caffeine 100–200mg 30–45' pre (only if sleep stable; pair with 100mg theanine).
• Optional: Tongkat Ali 200–400mg AM (cycle 5 days on / weekend off).</t>
        </is>
      </c>
      <c r="R65" s="2" t="inlineStr">
        <is>
          <t>Post: 5–8 min easy spin-down + 5 min nasal breathing. Evening: Flexbeam 10–15 min + gentle hamstring nerve glide (NOT aggressive stretching).</t>
        </is>
      </c>
      <c r="S65" s="2" t="inlineStr">
        <is>
          <t>2×10 min @ 98%.</t>
        </is>
      </c>
      <c r="T65" s="2" t="inlineStr">
        <is>
          <t>Keep as written; don’t add more.</t>
        </is>
      </c>
      <c r="U65" s="2" t="n"/>
      <c r="V65" s="2" t="n">
        <v>101</v>
      </c>
      <c r="W65" s="2" t="n">
        <v>0</v>
      </c>
      <c r="X65" s="2" t="n">
        <v>0</v>
      </c>
      <c r="Y65" s="2" t="n">
        <v>90</v>
      </c>
      <c r="Z65" s="2" t="n">
        <v>901</v>
      </c>
      <c r="AA65" s="2" t="n">
        <v>546</v>
      </c>
      <c r="AB65" s="2" t="n">
        <v>0</v>
      </c>
      <c r="AC65" s="2" t="n">
        <v>1447</v>
      </c>
    </row>
    <row r="66">
      <c r="A66" s="2" t="inlineStr">
        <is>
          <t>2026-04-07</t>
        </is>
      </c>
      <c r="B66" s="2" t="n">
        <v>10</v>
      </c>
      <c r="C66" s="2" t="inlineStr">
        <is>
          <t>SHARPEN</t>
        </is>
      </c>
      <c r="D66" s="2" t="inlineStr">
        <is>
          <t>Tuesday</t>
        </is>
      </c>
      <c r="E66" s="2" t="inlineStr">
        <is>
          <t>OFF or 45–60 min Z2 @ 205–235W (65–75% FTP) (65–75% FTP).</t>
        </is>
      </c>
      <c r="F66" s="2" t="inlineStr">
        <is>
          <t>Easy 35 min (≤75% HRmax).</t>
        </is>
      </c>
      <c r="G66" s="2" t="n"/>
      <c r="H66" s="2" t="n"/>
      <c r="I66" s="2" t="inlineStr">
        <is>
          <t>2800 kcal | 160P 360C 80F  (meals sum: 2800 kcal | 160P 360C 80F)</t>
        </is>
      </c>
      <c r="J66" s="2" t="inlineStr">
        <is>
          <t>0P 25C 0F</t>
        </is>
      </c>
      <c r="K66" s="2" t="inlineStr">
        <is>
          <t>0P 0C 0F</t>
        </is>
      </c>
      <c r="L66" s="2" t="inlineStr">
        <is>
          <t>42P 108C 15F</t>
        </is>
      </c>
      <c r="M66" s="2" t="inlineStr">
        <is>
          <t>40P 94C 26F</t>
        </is>
      </c>
      <c r="N66" s="2" t="inlineStr">
        <is>
          <t>25P 45C 10F</t>
        </is>
      </c>
      <c r="O66" s="2" t="inlineStr">
        <is>
          <t>33P 73C 24F</t>
        </is>
      </c>
      <c r="P66" s="2" t="inlineStr">
        <is>
          <t>20P 15C 5F</t>
        </is>
      </c>
      <c r="Q66" s="2" t="inlineStr">
        <is>
          <t>• Daily base: Creatine 5g AM; Omega-3 (2g EPA/DHA) with meal; Vitamin D3 2000 IU (winter) unless already; Magnesium glycinate 300–400mg PM; Glycine 3g + Taurine 1–2g + Inositol 2g + L-theanine 200mg PM.
• Beta-alanine: 3.2g/day split 1.6g AM + 1.6g PM (8–10 wk load).
• Optional: Caffeine 100–200mg 30–45' pre (only if sleep stable; pair with 100mg theanine).
• Optional: Tongkat Ali 200–400mg AM (cycle 5 days on / weekend off).</t>
        </is>
      </c>
      <c r="R66" s="2" t="inlineStr">
        <is>
          <t>Foam roll calves/quads 8–10 min + hip mobility 8 min. Flexbeam optional 10 min if hamstring feels tight.</t>
        </is>
      </c>
      <c r="S66" s="2" t="inlineStr">
        <is>
          <t>OFF.</t>
        </is>
      </c>
      <c r="T66" s="2" t="inlineStr">
        <is>
          <t>Add 10 min easy if time.</t>
        </is>
      </c>
      <c r="U66" s="2" t="n"/>
      <c r="V66" s="2" t="n">
        <v>0</v>
      </c>
      <c r="W66" s="2" t="n">
        <v>0</v>
      </c>
      <c r="X66" s="2" t="n">
        <v>50</v>
      </c>
      <c r="Y66" s="2" t="n">
        <v>50</v>
      </c>
      <c r="Z66" s="2" t="n">
        <v>0</v>
      </c>
      <c r="AA66" s="2" t="n">
        <v>0</v>
      </c>
      <c r="AB66" s="2" t="n">
        <v>375</v>
      </c>
      <c r="AC66" s="2" t="n">
        <v>375</v>
      </c>
    </row>
    <row r="67">
      <c r="A67" s="2" t="inlineStr">
        <is>
          <t>2026-04-08</t>
        </is>
      </c>
      <c r="B67" s="2" t="n">
        <v>10</v>
      </c>
      <c r="C67" s="2" t="inlineStr">
        <is>
          <t>SHARPEN</t>
        </is>
      </c>
      <c r="D67" s="2" t="inlineStr">
        <is>
          <t>Wednesday</t>
        </is>
      </c>
      <c r="E67" s="2" t="inlineStr">
        <is>
          <t>66min Z2 (run replacement)</t>
        </is>
      </c>
      <c r="F67" s="2" t="inlineStr">
        <is>
          <t>Replaced with Z2 bike</t>
        </is>
      </c>
      <c r="G67" s="2" t="inlineStr">
        <is>
          <t>Full-body (Keep strength, don’t chase fatigue):
A: Trap bar DL 3×3 @ ~75–80% e1RM (RPE 7)
B: Bench or OHP 3×4–6 @ RPE 7–8
C: Split squat 2×6–8/leg @ RPE 7
D: Row 3×6–8 @ RPE 7
E: Nordic/slider curl 2×6–8 controlled
F: Core 2 sets
Rule: stop 1–2 reps before grind.</t>
        </is>
      </c>
      <c r="H67" s="2" t="n"/>
      <c r="I67" s="2" t="inlineStr">
        <is>
          <t>3000 kcal | 170P 400C 80F  (meals sum: 3000 kcal | 170P 400C 80F)</t>
        </is>
      </c>
      <c r="J67" s="2" t="inlineStr">
        <is>
          <t>0P 25C 0F</t>
        </is>
      </c>
      <c r="K67" s="2" t="inlineStr">
        <is>
          <t>0P 0C 0F</t>
        </is>
      </c>
      <c r="L67" s="2" t="inlineStr">
        <is>
          <t>48P 126C 15F</t>
        </is>
      </c>
      <c r="M67" s="2" t="inlineStr">
        <is>
          <t>40P 108C 26F</t>
        </is>
      </c>
      <c r="N67" s="2" t="inlineStr">
        <is>
          <t>25P 45C 10F</t>
        </is>
      </c>
      <c r="O67" s="2" t="inlineStr">
        <is>
          <t>37P 81C 24F</t>
        </is>
      </c>
      <c r="P67" s="2" t="inlineStr">
        <is>
          <t>20P 15C 5F</t>
        </is>
      </c>
      <c r="Q67" s="2" t="inlineStr">
        <is>
          <t>• Daily base: Creatine 5g AM; Omega-3 (2g EPA/DHA) with meal; Vitamin D3 2000 IU (winter) unless already; Magnesium glycinate 300–400mg PM; Glycine 3g + Taurine 1–2g + Inositol 2g + L-theanine 200mg PM.
• Beta-alanine: 3.2g/day split 1.6g AM + 1.6g PM (8–10 wk load).
• Optional: Caffeine 100–200mg 30–45' pre (only if sleep stable; pair with 100mg theanine).
• Optional: Tongkat Ali 200–400mg AM (cycle 5 days on / weekend off).</t>
        </is>
      </c>
      <c r="R67" s="2" t="inlineStr">
        <is>
          <t>After strength: massage gun glute/hamstring 6–8 min + light hip flexor stretch. Flexbeam 10 min if sore.</t>
        </is>
      </c>
      <c r="S67" s="2" t="n"/>
      <c r="T67" s="2" t="n"/>
      <c r="U67" s="2" t="n"/>
      <c r="V67" s="2" t="n">
        <v>66</v>
      </c>
      <c r="W67" s="2" t="n">
        <v>0</v>
      </c>
      <c r="X67" s="2" t="n">
        <v>60</v>
      </c>
      <c r="Y67" s="2" t="n">
        <v>110</v>
      </c>
      <c r="Z67" s="2" t="n">
        <v>0</v>
      </c>
      <c r="AA67" s="2" t="n">
        <v>780</v>
      </c>
      <c r="AB67" s="2" t="n">
        <v>450</v>
      </c>
      <c r="AC67" s="2" t="n">
        <v>1230</v>
      </c>
    </row>
    <row r="68">
      <c r="A68" s="2" t="inlineStr">
        <is>
          <t>2026-04-09</t>
        </is>
      </c>
      <c r="B68" s="2" t="n">
        <v>10</v>
      </c>
      <c r="C68" s="2" t="inlineStr">
        <is>
          <t>SHARPEN</t>
        </is>
      </c>
      <c r="D68" s="2" t="inlineStr">
        <is>
          <t>Thursday</t>
        </is>
      </c>
      <c r="E68" s="2" t="inlineStr">
        <is>
          <t>Warm-up:
• 10 min @ 65–70% FTP
• 3×1 min @ 105% FTP (1 min @ 60% FTP between)
Main set:
• 2×20 min @ 277W (~88–88% FTP)
  – Recovery: 5 min @ 60% FTP
Cooldown:
• 10 min @ 60–65% FTP</t>
        </is>
      </c>
      <c r="F68" s="2" t="n"/>
      <c r="G68" s="2" t="n"/>
      <c r="H68" s="2" t="inlineStr">
        <is>
          <t>Bike: 60–70 g/h. 500–750 ml/h.</t>
        </is>
      </c>
      <c r="I68" s="2" t="inlineStr">
        <is>
          <t>3100 kcal | 160P 458C 70F  (meals sum: 3102 kcal | 160P 458C 70F)</t>
        </is>
      </c>
      <c r="J68" s="2" t="inlineStr">
        <is>
          <t>0P 30C 0F</t>
        </is>
      </c>
      <c r="K68" s="2" t="inlineStr">
        <is>
          <t>0P 60C 0F</t>
        </is>
      </c>
      <c r="L68" s="2" t="inlineStr">
        <is>
          <t>42P 94C 15F</t>
        </is>
      </c>
      <c r="M68" s="2" t="inlineStr">
        <is>
          <t>40P 112C 20F</t>
        </is>
      </c>
      <c r="N68" s="2" t="inlineStr">
        <is>
          <t>25P 60C 10F</t>
        </is>
      </c>
      <c r="O68" s="2" t="inlineStr">
        <is>
          <t>33P 92C 20F</t>
        </is>
      </c>
      <c r="P68" s="2" t="inlineStr">
        <is>
          <t>20P 10C 5F</t>
        </is>
      </c>
      <c r="Q68" s="2" t="inlineStr">
        <is>
          <t>• Daily base: Creatine 5g AM; Omega-3 (2g EPA/DHA) with meal; Vitamin D3 2000 IU (winter) unless already; Magnesium glycinate 300–400mg PM; Glycine 3g + Taurine 1–2g + Inositol 2g + L-theanine 200mg PM.
• Beta-alanine: 3.2g/day split 1.6g AM + 1.6g PM (8–10 wk load).
• Optional: Caffeine 100–200mg 30–45' pre (only if sleep stable; pair with 100mg theanine).
• Optional: Tongkat Ali 200–400mg AM (cycle 5 days on / weekend off).</t>
        </is>
      </c>
      <c r="R68" s="2" t="inlineStr">
        <is>
          <t>After ride: 10 min easy + couch stretch 2×45s/side + thoracic mobility. Flexbeam 10–15 min.</t>
        </is>
      </c>
      <c r="S68" s="2" t="inlineStr">
        <is>
          <t>1×20 min.</t>
        </is>
      </c>
      <c r="T68" s="2" t="inlineStr">
        <is>
          <t>Keep as written.</t>
        </is>
      </c>
      <c r="U68" s="2" t="n"/>
      <c r="V68" s="2" t="n">
        <v>65</v>
      </c>
      <c r="W68" s="2" t="n">
        <v>0</v>
      </c>
      <c r="X68" s="2" t="n">
        <v>0</v>
      </c>
      <c r="Y68" s="2" t="n">
        <v>65</v>
      </c>
      <c r="Z68" s="2" t="n">
        <v>621</v>
      </c>
      <c r="AA68" s="2" t="n">
        <v>0</v>
      </c>
      <c r="AB68" s="2" t="n">
        <v>0</v>
      </c>
      <c r="AC68" s="2" t="n">
        <v>621</v>
      </c>
    </row>
    <row r="69">
      <c r="A69" s="2" t="inlineStr">
        <is>
          <t>2026-04-10</t>
        </is>
      </c>
      <c r="B69" s="2" t="n">
        <v>10</v>
      </c>
      <c r="C69" s="2" t="inlineStr">
        <is>
          <t>SHARPEN</t>
        </is>
      </c>
      <c r="D69" s="2" t="inlineStr">
        <is>
          <t>Friday</t>
        </is>
      </c>
      <c r="E69" s="2" t="inlineStr">
        <is>
          <t>46min Z2 (run replacement)</t>
        </is>
      </c>
      <c r="F69" s="2" t="inlineStr">
        <is>
          <t>Replaced with Z2 bike</t>
        </is>
      </c>
      <c r="G69" s="2" t="inlineStr">
        <is>
          <t>Full-body (Hypertrophy, keep freshness):
A: Goblet squat 3×8–10 @ RPE 7
B: RDL 3×8 @ RPE 7
C: Incline DB press 3×8–10 @ RPE 7–8
D: Row/pulldown 3×10 @ RPE 7
E: Hip thrust 2×10 @ RPE 7
F: Calves 2×12
Rule: no leg burn-out; leave gym feeling better.</t>
        </is>
      </c>
      <c r="H69" s="2" t="n"/>
      <c r="I69" s="2" t="inlineStr">
        <is>
          <t>3000 kcal | 170P 400C 80F  (meals sum: 3000 kcal | 170P 400C 80F)</t>
        </is>
      </c>
      <c r="J69" s="2" t="inlineStr">
        <is>
          <t>0P 25C 0F</t>
        </is>
      </c>
      <c r="K69" s="2" t="inlineStr">
        <is>
          <t>0P 0C 0F</t>
        </is>
      </c>
      <c r="L69" s="2" t="inlineStr">
        <is>
          <t>48P 126C 15F</t>
        </is>
      </c>
      <c r="M69" s="2" t="inlineStr">
        <is>
          <t>40P 108C 26F</t>
        </is>
      </c>
      <c r="N69" s="2" t="inlineStr">
        <is>
          <t>25P 45C 10F</t>
        </is>
      </c>
      <c r="O69" s="2" t="inlineStr">
        <is>
          <t>37P 81C 24F</t>
        </is>
      </c>
      <c r="P69" s="2" t="inlineStr">
        <is>
          <t>20P 15C 5F</t>
        </is>
      </c>
      <c r="Q69" s="2" t="inlineStr">
        <is>
          <t>• Daily base: Creatine 5g AM; Omega-3 (2g EPA/DHA) with meal; Vitamin D3 2000 IU (winter) unless already; Magnesium glycinate 300–400mg PM; Glycine 3g + Taurine 1–2g + Inositol 2g + L-theanine 200mg PM.
• Beta-alanine: 3.2g/day split 1.6g AM + 1.6g PM (8–10 wk load).
• Optional: Caffeine 100–200mg 30–45' pre (only if sleep stable; pair with 100mg theanine).
• Optional: Tongkat Ali 200–400mg AM (cycle 5 days on / weekend off).</t>
        </is>
      </c>
      <c r="R69" s="2" t="inlineStr">
        <is>
          <t>Foam roll light 6–8 min + 8–12 min downshift (NSDR or box breathing).</t>
        </is>
      </c>
      <c r="S69" s="2" t="n"/>
      <c r="T69" s="2" t="n"/>
      <c r="U69" s="2" t="n"/>
      <c r="V69" s="2" t="n">
        <v>46</v>
      </c>
      <c r="W69" s="2" t="n">
        <v>0</v>
      </c>
      <c r="X69" s="2" t="n">
        <v>75</v>
      </c>
      <c r="Y69" s="2" t="n">
        <v>110</v>
      </c>
      <c r="Z69" s="2" t="n">
        <v>0</v>
      </c>
      <c r="AA69" s="2" t="n">
        <v>546</v>
      </c>
      <c r="AB69" s="2" t="n">
        <v>563</v>
      </c>
      <c r="AC69" s="2" t="n">
        <v>1109</v>
      </c>
    </row>
    <row r="70">
      <c r="A70" s="2" t="inlineStr">
        <is>
          <t>2026-04-11</t>
        </is>
      </c>
      <c r="B70" s="2" t="n">
        <v>10</v>
      </c>
      <c r="C70" s="2" t="inlineStr">
        <is>
          <t>SHARPEN</t>
        </is>
      </c>
      <c r="D70" s="2" t="inlineStr">
        <is>
          <t>Saturday</t>
        </is>
      </c>
      <c r="E70" s="2" t="inlineStr">
        <is>
          <t>Long ride 3.5h. HR cap ≤78% HRmax. Power cap ≤270W (≤86% FTP). Include 4–6×5 min high-cadence (95–105rpm) sprinkled in. Stay steady; prioritize time-in-saddle.</t>
        </is>
      </c>
      <c r="F70" s="2" t="n"/>
      <c r="G70" s="2" t="n"/>
      <c r="H70" s="2" t="inlineStr">
        <is>
          <t>Long: 80–90 g/h. Sodium 700–1000 mg/h. Start fueling at 15'.</t>
        </is>
      </c>
      <c r="I70" s="2" t="inlineStr">
        <is>
          <t>4000 kcal | 160P 660C 80F  (meals sum: 4000 kcal | 160P 660C 80F)</t>
        </is>
      </c>
      <c r="J70" s="2" t="inlineStr">
        <is>
          <t>0P 30C 0F</t>
        </is>
      </c>
      <c r="K70" s="2" t="inlineStr">
        <is>
          <t>0P 298C 0F</t>
        </is>
      </c>
      <c r="L70" s="2" t="inlineStr">
        <is>
          <t>42P 88C 15F</t>
        </is>
      </c>
      <c r="M70" s="2" t="inlineStr">
        <is>
          <t>40P 94C 26F</t>
        </is>
      </c>
      <c r="N70" s="2" t="inlineStr">
        <is>
          <t>25P 60C 10F</t>
        </is>
      </c>
      <c r="O70" s="2" t="inlineStr">
        <is>
          <t>33P 80C 24F</t>
        </is>
      </c>
      <c r="P70" s="2" t="inlineStr">
        <is>
          <t>20P 10C 5F</t>
        </is>
      </c>
      <c r="Q70" s="2" t="inlineStr">
        <is>
          <t>• Daily base: Creatine 5g AM; Omega-3 (2g EPA/DHA) with meal; Vitamin D3 2000 IU (winter) unless already; Magnesium glycinate 300–400mg PM; Glycine 3g + Taurine 1–2g + Inositol 2g + L-theanine 200mg PM.
• Beta-alanine: 3.2g/day split 1.6g AM + 1.6g PM (8–10 wk load).
• Optional: Caffeine 100–200mg 30–45' pre (only if sleep stable; pair with 100mg theanine).
• Optional: Tongkat Ali 200–400mg AM (cycle 5 days on / weekend off).</t>
        </is>
      </c>
      <c r="R70" s="2" t="inlineStr">
        <is>
          <t>After long ride: 10–15 min walk + legs up the wall 5 min. No deep stretching. Flexbeam optional 10 min if knee/hamstring niggles.</t>
        </is>
      </c>
      <c r="S70" s="2" t="inlineStr">
        <is>
          <t>Cut duration by 30–45 min.</t>
        </is>
      </c>
      <c r="T70" s="2" t="inlineStr">
        <is>
          <t>Add 15–20 min (outdoors) OR add 20 min upper Z2 late.</t>
        </is>
      </c>
      <c r="U70" s="2" t="inlineStr">
        <is>
          <t>Winter options: If icy/dark, do indoor split (AM+PM) OR 2–3h XC ski (Z2) + 60–90 min easy trainer later. Keep fueling totals.</t>
        </is>
      </c>
      <c r="V70" s="2" t="n">
        <v>210</v>
      </c>
      <c r="W70" s="2" t="n">
        <v>0</v>
      </c>
      <c r="X70" s="2" t="n">
        <v>0</v>
      </c>
      <c r="Y70" s="2" t="n">
        <v>210</v>
      </c>
      <c r="Z70" s="2" t="n">
        <v>2293</v>
      </c>
      <c r="AA70" s="2" t="n">
        <v>0</v>
      </c>
      <c r="AB70" s="2" t="n">
        <v>0</v>
      </c>
      <c r="AC70" s="2" t="n">
        <v>2293</v>
      </c>
    </row>
    <row r="71">
      <c r="A71" s="2" t="inlineStr">
        <is>
          <t>2026-04-12</t>
        </is>
      </c>
      <c r="B71" s="2" t="n">
        <v>10</v>
      </c>
      <c r="C71" s="2" t="inlineStr">
        <is>
          <t>SHARPEN</t>
        </is>
      </c>
      <c r="D71" s="2" t="inlineStr">
        <is>
          <t>Sunday</t>
        </is>
      </c>
      <c r="E71" s="2" t="n"/>
      <c r="F71" s="2" t="n"/>
      <c r="G71" s="2" t="n"/>
      <c r="H71" s="2" t="n"/>
      <c r="I71" s="2" t="inlineStr">
        <is>
          <t>2500 kcal | 160P 262C 90F  (meals sum: 2498 kcal | 160P 262C 90F)</t>
        </is>
      </c>
      <c r="J71" s="2" t="inlineStr">
        <is>
          <t>0P 0C 0F</t>
        </is>
      </c>
      <c r="K71" s="2" t="inlineStr">
        <is>
          <t>0P 0C 0F</t>
        </is>
      </c>
      <c r="L71" s="2" t="inlineStr">
        <is>
          <t>42P 75C 15F</t>
        </is>
      </c>
      <c r="M71" s="2" t="inlineStr">
        <is>
          <t>40P 69C 31F</t>
        </is>
      </c>
      <c r="N71" s="2" t="inlineStr">
        <is>
          <t>25P 45C 10F</t>
        </is>
      </c>
      <c r="O71" s="2" t="inlineStr">
        <is>
          <t>33P 58C 29F</t>
        </is>
      </c>
      <c r="P71" s="2" t="inlineStr">
        <is>
          <t>20P 15C 5F</t>
        </is>
      </c>
      <c r="Q71" s="2" t="inlineStr">
        <is>
          <t>• Daily base: Creatine 5g AM; Omega-3 (2g EPA/DHA) with meal; Vitamin D3 2000 IU (winter) unless already; Magnesium glycinate 300–400mg PM; Glycine 3g + Taurine 1–2g + Inositol 2g + L-theanine 200mg PM.
• Beta-alanine: 3.2g/day split 1.6g AM + 1.6g PM (8–10 wk load).
• Optional: Caffeine 100–200mg 30–45' pre (only if sleep stable; pair with 100mg theanine).
• Optional: Tongkat Ali 200–400mg AM (cycle 5 days on / weekend off).</t>
        </is>
      </c>
      <c r="R71" s="2" t="inlineStr">
        <is>
          <t>Full rest. 20–30 min easy walk + 10 min mobility if you feel stiff. Limit screen stress at night.</t>
        </is>
      </c>
      <c r="S71" s="2" t="n"/>
      <c r="T71" s="2" t="n"/>
      <c r="U71" s="2" t="n"/>
      <c r="V71" s="2" t="n">
        <v>0</v>
      </c>
      <c r="W71" s="2" t="n">
        <v>0</v>
      </c>
      <c r="X71" s="2" t="n">
        <v>0</v>
      </c>
      <c r="Y71" s="2" t="n">
        <v>0</v>
      </c>
      <c r="Z71" s="2" t="n">
        <v>0</v>
      </c>
      <c r="AA71" s="2" t="n">
        <v>0</v>
      </c>
      <c r="AB71" s="2" t="n">
        <v>0</v>
      </c>
      <c r="AC71" s="2" t="n">
        <v>0</v>
      </c>
    </row>
    <row r="72">
      <c r="A72" s="2" t="inlineStr">
        <is>
          <t>2026-04-13</t>
        </is>
      </c>
      <c r="B72" s="2" t="n">
        <v>11</v>
      </c>
      <c r="C72" s="2" t="inlineStr">
        <is>
          <t>TAPER/RACE</t>
        </is>
      </c>
      <c r="D72" s="2" t="inlineStr">
        <is>
          <t>Monday</t>
        </is>
      </c>
      <c r="E72" s="2" t="inlineStr">
        <is>
          <t>Bike – FTP 20x3min (30s rest) @95–100% FTP + 36min Z2 (run replacement)</t>
        </is>
      </c>
      <c r="F72" s="2" t="inlineStr">
        <is>
          <t>Replaced with Z2 bike</t>
        </is>
      </c>
      <c r="G72" s="2" t="inlineStr">
        <is>
          <t>Upper body + core (optional 45–60 min):
A: Bench or OHP 4×6 @ RPE 7
B: Pull-ups or pulldown 4×6–10
C: DB row 3×10
D: Lateral raise 3×12–15
E: Triceps + biceps 2–3×10–15
F: Core: Pallof press 3×10/side + plank 2×45–60s
Keep this away from failure.
Added (moderate load, post-bike):
• Bulgarian Split Squat or Step-Up
  3×6–8 / leg @ RIR 2–3
  Controlled eccentric, no grind</t>
        </is>
      </c>
      <c r="H72" s="2" t="inlineStr">
        <is>
          <t>Bike: 60–80 g/h (mix glucose+fructose). 500–750 ml/h + sodium 500–800 mg/h.</t>
        </is>
      </c>
      <c r="I72" s="2" t="inlineStr">
        <is>
          <t>2700 kcal | 160P 335C 80F  (meals sum: 2700 kcal | 160P 335C 80F)</t>
        </is>
      </c>
      <c r="J72" s="2" t="inlineStr">
        <is>
          <t>0P 0C 0F</t>
        </is>
      </c>
      <c r="K72" s="2" t="inlineStr">
        <is>
          <t>0P 70C 0F</t>
        </is>
      </c>
      <c r="L72" s="2" t="inlineStr">
        <is>
          <t>42P 76C 15F</t>
        </is>
      </c>
      <c r="M72" s="2" t="inlineStr">
        <is>
          <t>40P 70C 26F</t>
        </is>
      </c>
      <c r="N72" s="2" t="inlineStr">
        <is>
          <t>25P 45C 10F</t>
        </is>
      </c>
      <c r="O72" s="2" t="inlineStr">
        <is>
          <t>33P 59C 24F</t>
        </is>
      </c>
      <c r="P72" s="2" t="inlineStr">
        <is>
          <t>20P 15C 5F</t>
        </is>
      </c>
      <c r="Q72" s="2" t="inlineStr">
        <is>
          <t>• Daily base: Creatine 5g AM; Omega-3 (2g EPA/DHA) with meal; Vitamin D3 2000 IU (winter) unless already; Magnesium glycinate 300–400mg PM; Glycine 3g + Taurine 1–2g + Inositol 2g + L-theanine 200mg PM.
• Beta-alanine: 3.2g/day split 1.6g AM + 1.6g PM (8–10 wk load).
• Optional: Caffeine 100–200mg 30–45' pre (only if sleep stable; pair with 100mg theanine).
• Optional: Tongkat Ali 200–400mg AM (cycle 5 days on / weekend off).</t>
        </is>
      </c>
      <c r="R72" s="2" t="inlineStr">
        <is>
          <t>Post: 5–8 min easy spin-down + 5 min nasal breathing. Evening: Flexbeam 10–15 min + gentle hamstring nerve glide (NOT aggressive stretching).</t>
        </is>
      </c>
      <c r="S72" s="2" t="inlineStr">
        <is>
          <t>Just 2×3 min @ 100–105%.</t>
        </is>
      </c>
      <c r="T72" s="2" t="inlineStr">
        <is>
          <t>Keep volume low; feel snappy.</t>
        </is>
      </c>
      <c r="U72" s="2" t="n"/>
      <c r="V72" s="2" t="n">
        <v>91</v>
      </c>
      <c r="W72" s="2" t="n">
        <v>0</v>
      </c>
      <c r="X72" s="2" t="n">
        <v>0</v>
      </c>
      <c r="Y72" s="2" t="n">
        <v>82</v>
      </c>
      <c r="Z72" s="2" t="n">
        <v>901</v>
      </c>
      <c r="AA72" s="2" t="n">
        <v>421</v>
      </c>
      <c r="AB72" s="2" t="n">
        <v>0</v>
      </c>
      <c r="AC72" s="2" t="n">
        <v>1322</v>
      </c>
    </row>
    <row r="73">
      <c r="A73" s="2" t="inlineStr">
        <is>
          <t>2026-04-14</t>
        </is>
      </c>
      <c r="B73" s="2" t="n">
        <v>11</v>
      </c>
      <c r="C73" s="2" t="inlineStr">
        <is>
          <t>TAPER/RACE</t>
        </is>
      </c>
      <c r="D73" s="2" t="inlineStr">
        <is>
          <t>Tuesday</t>
        </is>
      </c>
      <c r="E73" s="2" t="inlineStr">
        <is>
          <t>OFF or 30–45 min easy Z1–Z2 (200–220W).</t>
        </is>
      </c>
      <c r="F73" s="2" t="inlineStr">
        <is>
          <t>Easy 25–30 min (≤75% HRmax). Stop if any hamstring warning.</t>
        </is>
      </c>
      <c r="G73" s="2" t="n"/>
      <c r="H73" s="2" t="n"/>
      <c r="I73" s="2" t="inlineStr">
        <is>
          <t>2700 kcal | 160P 335C 80F  (meals sum: 2700 kcal | 160P 335C 80F)</t>
        </is>
      </c>
      <c r="J73" s="2" t="inlineStr">
        <is>
          <t>0P 0C 0F</t>
        </is>
      </c>
      <c r="K73" s="2" t="inlineStr">
        <is>
          <t>0P 0C 0F</t>
        </is>
      </c>
      <c r="L73" s="2" t="inlineStr">
        <is>
          <t>42P 108C 15F</t>
        </is>
      </c>
      <c r="M73" s="2" t="inlineStr">
        <is>
          <t>40P 94C 26F</t>
        </is>
      </c>
      <c r="N73" s="2" t="inlineStr">
        <is>
          <t>25P 45C 10F</t>
        </is>
      </c>
      <c r="O73" s="2" t="inlineStr">
        <is>
          <t>33P 73C 24F</t>
        </is>
      </c>
      <c r="P73" s="2" t="inlineStr">
        <is>
          <t>20P 15C 5F</t>
        </is>
      </c>
      <c r="Q73" s="2" t="inlineStr">
        <is>
          <t>• Daily base: Creatine 5g AM; Omega-3 (2g EPA/DHA) with meal; Vitamin D3 2000 IU (winter) unless already; Magnesium glycinate 300–400mg PM; Glycine 3g + Taurine 1–2g + Inositol 2g + L-theanine 200mg PM.
• Beta-alanine: 3.2g/day split 1.6g AM + 1.6g PM (8–10 wk load).
• Optional: Caffeine 100–200mg 30–45' pre (only if sleep stable; pair with 100mg theanine).
• Optional: Tongkat Ali 200–400mg AM (cycle 5 days on / weekend off).</t>
        </is>
      </c>
      <c r="R73" s="2" t="inlineStr">
        <is>
          <t>Foam roll calves/quads 8–10 min + hip mobility 8 min. Flexbeam optional 10 min if hamstring feels tight.</t>
        </is>
      </c>
      <c r="S73" s="2" t="inlineStr">
        <is>
          <t>OFF.</t>
        </is>
      </c>
      <c r="T73" s="2" t="inlineStr">
        <is>
          <t>Keep easy.</t>
        </is>
      </c>
      <c r="U73" s="2" t="n"/>
      <c r="V73" s="2" t="n">
        <v>0</v>
      </c>
      <c r="W73" s="2" t="n">
        <v>0</v>
      </c>
      <c r="X73" s="2" t="n">
        <v>50</v>
      </c>
      <c r="Y73" s="2" t="n">
        <v>50</v>
      </c>
      <c r="Z73" s="2" t="n">
        <v>0</v>
      </c>
      <c r="AA73" s="2" t="n">
        <v>0</v>
      </c>
      <c r="AB73" s="2" t="n">
        <v>375</v>
      </c>
      <c r="AC73" s="2" t="n">
        <v>375</v>
      </c>
    </row>
    <row r="74">
      <c r="A74" s="2" t="inlineStr">
        <is>
          <t>2026-04-15</t>
        </is>
      </c>
      <c r="B74" s="2" t="n">
        <v>11</v>
      </c>
      <c r="C74" s="2" t="inlineStr">
        <is>
          <t>TAPER/RACE</t>
        </is>
      </c>
      <c r="D74" s="2" t="inlineStr">
        <is>
          <t>Wednesday</t>
        </is>
      </c>
      <c r="E74" s="2" t="inlineStr">
        <is>
          <t>33min Z2 (run replacement)</t>
        </is>
      </c>
      <c r="F74" s="2" t="inlineStr">
        <is>
          <t>Replaced with Z2 bike</t>
        </is>
      </c>
      <c r="G74" s="2" t="inlineStr">
        <is>
          <t>Full-body (Keep strength, don’t chase fatigue):
A: Trap bar DL 3×3 @ ~75–80% e1RM (RPE 7)
B: Bench or OHP 3×4–6 @ RPE 7–8
C: Split squat 2×6–8/leg @ RPE 7
D: Row 3×6–8 @ RPE 7
E: Nordic/slider curl 2×6–8 controlled
F: Core 2 sets
Rule: stop 1–2 reps before grind.</t>
        </is>
      </c>
      <c r="H74" s="2" t="n"/>
      <c r="I74" s="2" t="inlineStr">
        <is>
          <t>3000 kcal | 170P 400C 80F  (meals sum: 3000 kcal | 170P 400C 80F)</t>
        </is>
      </c>
      <c r="J74" s="2" t="inlineStr">
        <is>
          <t>0P 25C 0F</t>
        </is>
      </c>
      <c r="K74" s="2" t="inlineStr">
        <is>
          <t>0P 0C 0F</t>
        </is>
      </c>
      <c r="L74" s="2" t="inlineStr">
        <is>
          <t>48P 126C 15F</t>
        </is>
      </c>
      <c r="M74" s="2" t="inlineStr">
        <is>
          <t>40P 108C 26F</t>
        </is>
      </c>
      <c r="N74" s="2" t="inlineStr">
        <is>
          <t>25P 45C 10F</t>
        </is>
      </c>
      <c r="O74" s="2" t="inlineStr">
        <is>
          <t>37P 81C 24F</t>
        </is>
      </c>
      <c r="P74" s="2" t="inlineStr">
        <is>
          <t>20P 15C 5F</t>
        </is>
      </c>
      <c r="Q74" s="2" t="inlineStr">
        <is>
          <t>• Daily base: Creatine 5g AM; Omega-3 (2g EPA/DHA) with meal; Vitamin D3 2000 IU (winter) unless already; Magnesium glycinate 300–400mg PM; Glycine 3g + Taurine 1–2g + Inositol 2g + L-theanine 200mg PM.
• Beta-alanine: 3.2g/day split 1.6g AM + 1.6g PM (8–10 wk load).
• Optional: Caffeine 100–200mg 30–45' pre (only if sleep stable; pair with 100mg theanine).
• Optional: Tongkat Ali 200–400mg AM (cycle 5 days on / weekend off).</t>
        </is>
      </c>
      <c r="R74" s="2" t="inlineStr">
        <is>
          <t>After strength: massage gun glute/hamstring 6–8 min + light hip flexor stretch. Flexbeam 10 min if sore.</t>
        </is>
      </c>
      <c r="S74" s="2" t="n"/>
      <c r="T74" s="2" t="n"/>
      <c r="U74" s="2" t="n"/>
      <c r="V74" s="2" t="n">
        <v>33</v>
      </c>
      <c r="W74" s="2" t="n">
        <v>0</v>
      </c>
      <c r="X74" s="2" t="n">
        <v>60</v>
      </c>
      <c r="Y74" s="2" t="n">
        <v>85</v>
      </c>
      <c r="Z74" s="2" t="n">
        <v>0</v>
      </c>
      <c r="AA74" s="2" t="n">
        <v>390</v>
      </c>
      <c r="AB74" s="2" t="n">
        <v>450</v>
      </c>
      <c r="AC74" s="2" t="n">
        <v>840</v>
      </c>
    </row>
    <row r="75">
      <c r="A75" s="2" t="inlineStr">
        <is>
          <t>2026-04-16</t>
        </is>
      </c>
      <c r="B75" s="2" t="n">
        <v>11</v>
      </c>
      <c r="C75" s="2" t="inlineStr">
        <is>
          <t>TAPER/RACE</t>
        </is>
      </c>
      <c r="D75" s="2" t="inlineStr">
        <is>
          <t>Thursday</t>
        </is>
      </c>
      <c r="E75" s="2" t="inlineStr">
        <is>
          <t>Warm-up:
• 10 min @ 65–70% FTP
• 3×1 min @ 105% FTP (1 min @ 60% FTP between)
Main set:
• Continuous work as prescribed (see notes)
Cooldown:
• 10 min @ 60–65% FTP</t>
        </is>
      </c>
      <c r="F75" s="2" t="n"/>
      <c r="G75" s="2" t="n"/>
      <c r="H75" s="2" t="inlineStr">
        <is>
          <t>Bike: 60–70 g/h. 500–750 ml/h.</t>
        </is>
      </c>
      <c r="I75" s="2" t="inlineStr">
        <is>
          <t>2700 kcal | 160P 335C 80F  (meals sum: 2700 kcal | 160P 335C 80F)</t>
        </is>
      </c>
      <c r="J75" s="2" t="inlineStr">
        <is>
          <t>0P 0C 0F</t>
        </is>
      </c>
      <c r="K75" s="2" t="inlineStr">
        <is>
          <t>0P 60C 0F</t>
        </is>
      </c>
      <c r="L75" s="2" t="inlineStr">
        <is>
          <t>42P 81C 15F</t>
        </is>
      </c>
      <c r="M75" s="2" t="inlineStr">
        <is>
          <t>40P 73C 26F</t>
        </is>
      </c>
      <c r="N75" s="2" t="inlineStr">
        <is>
          <t>25P 45C 10F</t>
        </is>
      </c>
      <c r="O75" s="2" t="inlineStr">
        <is>
          <t>33P 61C 24F</t>
        </is>
      </c>
      <c r="P75" s="2" t="inlineStr">
        <is>
          <t>20P 15C 5F</t>
        </is>
      </c>
      <c r="Q75" s="2" t="inlineStr">
        <is>
          <t>• Daily base: Creatine 5g AM; Omega-3 (2g EPA/DHA) with meal; Vitamin D3 2000 IU (winter) unless already; Magnesium glycinate 300–400mg PM; Glycine 3g + Taurine 1–2g + Inositol 2g + L-theanine 200mg PM.
• Beta-alanine: 3.2g/day split 1.6g AM + 1.6g PM (8–10 wk load).
• Optional: Caffeine 100–200mg 30–45' pre (only if sleep stable; pair with 100mg theanine).
• Optional: Tongkat Ali 200–400mg AM (cycle 5 days on / weekend off).</t>
        </is>
      </c>
      <c r="R75" s="2" t="inlineStr">
        <is>
          <t>After ride: 10 min easy + couch stretch 2×45s/side + thoracic mobility. Flexbeam 10–15 min.</t>
        </is>
      </c>
      <c r="S75" s="2" t="inlineStr">
        <is>
          <t>Easy spin only.</t>
        </is>
      </c>
      <c r="T75" s="2" t="inlineStr">
        <is>
          <t>Keep short.</t>
        </is>
      </c>
      <c r="U75" s="2" t="n"/>
      <c r="V75" s="2" t="n">
        <v>0</v>
      </c>
      <c r="W75" s="2" t="n">
        <v>0</v>
      </c>
      <c r="X75" s="2" t="n">
        <v>0</v>
      </c>
      <c r="Y75" s="2" t="n">
        <v>0</v>
      </c>
      <c r="Z75" s="2" t="n">
        <v>0</v>
      </c>
      <c r="AA75" s="2" t="n">
        <v>0</v>
      </c>
      <c r="AB75" s="2" t="n">
        <v>0</v>
      </c>
      <c r="AC75" s="2" t="n">
        <v>0</v>
      </c>
    </row>
    <row r="76">
      <c r="A76" s="2" t="inlineStr">
        <is>
          <t>2026-04-17</t>
        </is>
      </c>
      <c r="B76" s="2" t="n">
        <v>11</v>
      </c>
      <c r="C76" s="2" t="inlineStr">
        <is>
          <t>TAPER/RACE</t>
        </is>
      </c>
      <c r="D76" s="2" t="inlineStr">
        <is>
          <t>Friday</t>
        </is>
      </c>
      <c r="E76" s="2" t="inlineStr">
        <is>
          <t>22min Z2 (run replacement)</t>
        </is>
      </c>
      <c r="F76" s="2" t="inlineStr">
        <is>
          <t>Replaced with Z2 bike</t>
        </is>
      </c>
      <c r="G76" s="2" t="inlineStr">
        <is>
          <t>Full-body (Hypertrophy, keep freshness):
A: Goblet squat 3×8–10 @ RPE 7
B: RDL 3×8 @ RPE 7
C: Incline DB press 3×8–10 @ RPE 7–8
D: Row/pulldown 3×10 @ RPE 7
E: Hip thrust 2×10 @ RPE 7
F: Calves 2×12
Rule: no leg burn-out; leave gym feeling better.</t>
        </is>
      </c>
      <c r="H76" s="2" t="n"/>
      <c r="I76" s="2" t="inlineStr">
        <is>
          <t>3000 kcal | 170P 400C 80F  (meals sum: 3000 kcal | 170P 400C 80F)</t>
        </is>
      </c>
      <c r="J76" s="2" t="inlineStr">
        <is>
          <t>0P 25C 0F</t>
        </is>
      </c>
      <c r="K76" s="2" t="inlineStr">
        <is>
          <t>0P 0C 0F</t>
        </is>
      </c>
      <c r="L76" s="2" t="inlineStr">
        <is>
          <t>48P 126C 15F</t>
        </is>
      </c>
      <c r="M76" s="2" t="inlineStr">
        <is>
          <t>40P 108C 26F</t>
        </is>
      </c>
      <c r="N76" s="2" t="inlineStr">
        <is>
          <t>25P 45C 10F</t>
        </is>
      </c>
      <c r="O76" s="2" t="inlineStr">
        <is>
          <t>37P 81C 24F</t>
        </is>
      </c>
      <c r="P76" s="2" t="inlineStr">
        <is>
          <t>20P 15C 5F</t>
        </is>
      </c>
      <c r="Q76" s="2" t="inlineStr">
        <is>
          <t>• Daily base: Creatine 5g AM; Omega-3 (2g EPA/DHA) with meal; Vitamin D3 2000 IU (winter) unless already; Magnesium glycinate 300–400mg PM; Glycine 3g + Taurine 1–2g + Inositol 2g + L-theanine 200mg PM.
• Beta-alanine: 3.2g/day split 1.6g AM + 1.6g PM (8–10 wk load).
• Optional: Caffeine 100–200mg 30–45' pre (only if sleep stable; pair with 100mg theanine).
• Optional: Tongkat Ali 200–400mg AM (cycle 5 days on / weekend off).</t>
        </is>
      </c>
      <c r="R76" s="2" t="inlineStr">
        <is>
          <t>Foam roll light 6–8 min + 8–12 min downshift (NSDR or box breathing).</t>
        </is>
      </c>
      <c r="S76" s="2" t="n"/>
      <c r="T76" s="2" t="n"/>
      <c r="U76" s="2" t="n"/>
      <c r="V76" s="2" t="n">
        <v>22</v>
      </c>
      <c r="W76" s="2" t="n">
        <v>0</v>
      </c>
      <c r="X76" s="2" t="n">
        <v>75</v>
      </c>
      <c r="Y76" s="2" t="n">
        <v>92</v>
      </c>
      <c r="Z76" s="2" t="n">
        <v>0</v>
      </c>
      <c r="AA76" s="2" t="n">
        <v>265</v>
      </c>
      <c r="AB76" s="2" t="n">
        <v>563</v>
      </c>
      <c r="AC76" s="2" t="n">
        <v>828</v>
      </c>
    </row>
    <row r="77">
      <c r="A77" s="2" t="inlineStr">
        <is>
          <t>2026-04-18</t>
        </is>
      </c>
      <c r="B77" s="2" t="n">
        <v>11</v>
      </c>
      <c r="C77" s="2" t="inlineStr">
        <is>
          <t>TAPER/RACE</t>
        </is>
      </c>
      <c r="D77" s="2" t="inlineStr">
        <is>
          <t>Saturday</t>
        </is>
      </c>
      <c r="E77" s="2" t="inlineStr">
        <is>
          <t>RACE: Dirty Jutland (18 Apr). Pacing: HR mostly Z2–low Z3; avoid surges early. Fuel 90g/h.</t>
        </is>
      </c>
      <c r="F77" s="2" t="n"/>
      <c r="G77" s="2" t="n"/>
      <c r="H77" s="2" t="inlineStr">
        <is>
          <t>Race: 90 g/h + sodium. Gel every 20'. Caffeine optional only if sleep ok.</t>
        </is>
      </c>
      <c r="I77" s="2" t="inlineStr">
        <is>
          <t>4200 kcal | 160P 721C 75F  (meals sum: 4199 kcal | 160P 721C 75F)</t>
        </is>
      </c>
      <c r="J77" s="2" t="inlineStr">
        <is>
          <t>0P 30C 0F</t>
        </is>
      </c>
      <c r="K77" s="2" t="inlineStr">
        <is>
          <t>0P 0C 0F</t>
        </is>
      </c>
      <c r="L77" s="2" t="inlineStr">
        <is>
          <t>42P 250C 15F</t>
        </is>
      </c>
      <c r="M77" s="2" t="inlineStr">
        <is>
          <t>40P 219C 23F</t>
        </is>
      </c>
      <c r="N77" s="2" t="inlineStr">
        <is>
          <t>25P 60C 10F</t>
        </is>
      </c>
      <c r="O77" s="2" t="inlineStr">
        <is>
          <t>33P 152C 22F</t>
        </is>
      </c>
      <c r="P77" s="2" t="inlineStr">
        <is>
          <t>20P 10C 5F</t>
        </is>
      </c>
      <c r="Q77" s="2" t="inlineStr">
        <is>
          <t>• Daily base: Creatine 5g AM; Omega-3 (2g EPA/DHA) with meal; Vitamin D3 2000 IU (winter) unless already; Magnesium glycinate 300–400mg PM; Glycine 3g + Taurine 1–2g + Inositol 2g + L-theanine 200mg PM.
• Beta-alanine: 3.2g/day split 1.6g AM + 1.6g PM (8–10 wk load).
• Optional: Caffeine 100–200mg 30–45' pre (only if sleep stable; pair with 100mg theanine).
• Optional: Tongkat Ali 200–400mg AM (cycle 5 days on / weekend off).</t>
        </is>
      </c>
      <c r="R77" s="2" t="inlineStr">
        <is>
          <t>After long ride: 10–15 min walk + legs up the wall 5 min. No deep stretching. Flexbeam optional 10 min if knee/hamstring niggles.</t>
        </is>
      </c>
      <c r="S77" s="2" t="inlineStr">
        <is>
          <t>—</t>
        </is>
      </c>
      <c r="T77" s="2" t="inlineStr">
        <is>
          <t>—</t>
        </is>
      </c>
      <c r="U77" s="2" t="n"/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</row>
    <row r="78">
      <c r="A78" s="2" t="inlineStr">
        <is>
          <t>2026-04-19</t>
        </is>
      </c>
      <c r="B78" s="2" t="n">
        <v>11</v>
      </c>
      <c r="C78" s="2" t="inlineStr">
        <is>
          <t>TAPER/RACE</t>
        </is>
      </c>
      <c r="D78" s="2" t="inlineStr">
        <is>
          <t>Sunday</t>
        </is>
      </c>
      <c r="E78" s="2" t="n"/>
      <c r="F78" s="2" t="n"/>
      <c r="G78" s="2" t="n"/>
      <c r="H78" s="2" t="n"/>
      <c r="I78" s="2" t="inlineStr">
        <is>
          <t>2500 kcal | 160P 262C 90F  (meals sum: 2498 kcal | 160P 262C 90F)</t>
        </is>
      </c>
      <c r="J78" s="2" t="inlineStr">
        <is>
          <t>0P 0C 0F</t>
        </is>
      </c>
      <c r="K78" s="2" t="inlineStr">
        <is>
          <t>0P 0C 0F</t>
        </is>
      </c>
      <c r="L78" s="2" t="inlineStr">
        <is>
          <t>42P 75C 15F</t>
        </is>
      </c>
      <c r="M78" s="2" t="inlineStr">
        <is>
          <t>40P 69C 31F</t>
        </is>
      </c>
      <c r="N78" s="2" t="inlineStr">
        <is>
          <t>25P 45C 10F</t>
        </is>
      </c>
      <c r="O78" s="2" t="inlineStr">
        <is>
          <t>33P 58C 29F</t>
        </is>
      </c>
      <c r="P78" s="2" t="inlineStr">
        <is>
          <t>20P 15C 5F</t>
        </is>
      </c>
      <c r="Q78" s="2" t="inlineStr">
        <is>
          <t>• Daily base: Creatine 5g AM; Omega-3 (2g EPA/DHA) with meal; Vitamin D3 2000 IU (winter) unless already; Magnesium glycinate 300–400mg PM; Glycine 3g + Taurine 1–2g + Inositol 2g + L-theanine 200mg PM.
• Beta-alanine: 3.2g/day split 1.6g AM + 1.6g PM (8–10 wk load).
• Optional: Caffeine 100–200mg 30–45' pre (only if sleep stable; pair with 100mg theanine).
• Optional: Tongkat Ali 200–400mg AM (cycle 5 days on / weekend off).</t>
        </is>
      </c>
      <c r="R78" s="2" t="inlineStr">
        <is>
          <t>Full rest. 20–30 min easy walk + 10 min mobility if you feel stiff. Limit screen stress at night.</t>
        </is>
      </c>
      <c r="S78" s="2" t="n"/>
      <c r="T78" s="2" t="n"/>
      <c r="U78" s="2" t="n"/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</row>
  </sheetData>
  <autoFilter ref="A1: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65" customWidth="1" min="3" max="3"/>
  </cols>
  <sheetData>
    <row r="1">
      <c r="A1" s="1" t="inlineStr">
        <is>
          <t>Category</t>
        </is>
      </c>
      <c r="B1" s="1" t="inlineStr">
        <is>
          <t>Best options (winter-friendly)</t>
        </is>
      </c>
      <c r="C1" s="1" t="inlineStr">
        <is>
          <t>Notes / why</t>
        </is>
      </c>
    </row>
    <row r="2">
      <c r="A2" s="2" t="inlineStr">
        <is>
          <t>Carbs (training)</t>
        </is>
      </c>
      <c r="B2" s="2" t="inlineStr">
        <is>
          <t>Rice, potatoes, oats, pasta, bread, bananas, juice, sports drink, rice cakes</t>
        </is>
      </c>
      <c r="C2" s="2" t="inlineStr">
        <is>
          <t>Prioritize low-fiber carbs pre/during training to protect gut &amp; hit carb targets.</t>
        </is>
      </c>
    </row>
    <row r="3">
      <c r="A3" s="2" t="inlineStr">
        <is>
          <t>Carbs (recovery)</t>
        </is>
      </c>
      <c r="B3" s="2" t="inlineStr">
        <is>
          <t>Rice + lean protein, cereal + milk, fruit + yogurt, chocolate milk</t>
        </is>
      </c>
      <c r="C3" s="2" t="inlineStr">
        <is>
          <t>Post hard/long: 1–1.2 g/kg carbs in first 2–3h improves glycogen and lowers stress response.</t>
        </is>
      </c>
    </row>
    <row r="4">
      <c r="A4" s="2" t="inlineStr">
        <is>
          <t>Protein</t>
        </is>
      </c>
      <c r="B4" s="2" t="inlineStr">
        <is>
          <t>Skyr/Greek yogurt, whey, eggs, chicken/turkey, lean beef, fish, cottage cheese, legumes</t>
        </is>
      </c>
      <c r="C4" s="2" t="inlineStr">
        <is>
          <t>Aim 30–45g per meal; last meal protein-only helps reflux &amp; sleep.</t>
        </is>
      </c>
    </row>
    <row r="5">
      <c r="A5" s="2" t="inlineStr">
        <is>
          <t>Fats (support)</t>
        </is>
      </c>
      <c r="B5" s="2" t="inlineStr">
        <is>
          <t>Olive oil, avocado, nuts (earlier day), salmon, whole eggs</t>
        </is>
      </c>
      <c r="C5" s="2" t="inlineStr">
        <is>
          <t>Keep fats lower pre-training; push fats earlier not late (reflux + sleep).</t>
        </is>
      </c>
    </row>
    <row r="6">
      <c r="A6" s="2" t="inlineStr">
        <is>
          <t>Fiber &amp; micronutrients</t>
        </is>
      </c>
      <c r="B6" s="2" t="inlineStr">
        <is>
          <t>Berries, carrots, leafy greens, crucifer veg, beans (not pre-training)</t>
        </is>
      </c>
      <c r="C6" s="2" t="inlineStr">
        <is>
          <t>Keep high-fiber meals away from hard sessions and late meal if reflux is sensitive.</t>
        </is>
      </c>
    </row>
    <row r="7">
      <c r="A7" s="2" t="inlineStr">
        <is>
          <t>Hydration/electrolytes</t>
        </is>
      </c>
      <c r="B7" s="2" t="inlineStr">
        <is>
          <t>Add sodium earlier day; electrolyte bottle during training</t>
        </is>
      </c>
      <c r="C7" s="2" t="inlineStr">
        <is>
          <t>Night peeing: taper fluids after 19:00; shift fluids earlier.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5" customWidth="1" min="2" max="2"/>
    <col width="65" customWidth="1" min="3" max="3"/>
  </cols>
  <sheetData>
    <row r="1">
      <c r="A1" s="1" t="inlineStr">
        <is>
          <t>Situation</t>
        </is>
      </c>
      <c r="B1" s="1" t="inlineStr">
        <is>
          <t>What to do</t>
        </is>
      </c>
      <c r="C1" s="1" t="inlineStr">
        <is>
          <t>Why it’s optimized (for fat loss + performance)</t>
        </is>
      </c>
    </row>
    <row r="2">
      <c r="A2" s="2" t="inlineStr">
        <is>
          <t>OK to be slightly underfueled</t>
        </is>
      </c>
      <c r="B2" s="2" t="inlineStr">
        <is>
          <t>Rest day + easy Z2 day: run a 250–450 kcal deficit; keep protein high (≥2.0 g/kg) and carbs moderate.</t>
        </is>
      </c>
      <c r="C2" s="2" t="inlineStr">
        <is>
          <t>Creates weekly fat-loss without compromising key training adaptations; keeps nervous system calmer than chronic low-carb.</t>
        </is>
      </c>
    </row>
    <row r="3">
      <c r="A3" s="2" t="inlineStr">
        <is>
          <t>NOT OK to be underfueled</t>
        </is>
      </c>
      <c r="B3" s="2" t="inlineStr">
        <is>
          <t>Monday hard, Thursday SS, Saturday long (and race week): hit carbs + calories; do not ‘save’ calories.</t>
        </is>
      </c>
      <c r="C3" s="2" t="inlineStr">
        <is>
          <t>Underfueling hard days raises stress hormones, worsens sleep, reduces quality, and increases injury risk—especially hamstring.</t>
        </is>
      </c>
    </row>
    <row r="4">
      <c r="A4" s="2" t="inlineStr">
        <is>
          <t>Intentional overfueling</t>
        </is>
      </c>
      <c r="B4" s="2" t="inlineStr">
        <is>
          <t>Long ride days: it’s fine to be at maintenance or +200–400 kcal if you fuel during session correctly.</t>
        </is>
      </c>
      <c r="C4" s="2" t="inlineStr">
        <is>
          <t>Better training quality + lower post-ride binge risk; improves recovery and maintains lean mass while cutting fat across the week.</t>
        </is>
      </c>
    </row>
    <row r="5">
      <c r="A5" s="2" t="inlineStr">
        <is>
          <t>Balanced days</t>
        </is>
      </c>
      <c r="B5" s="2" t="inlineStr">
        <is>
          <t>Strength+run days: near-maintenance with high protein; carbs sufficient to protect CNS and reduce soreness.</t>
        </is>
      </c>
      <c r="C5" s="2" t="inlineStr">
        <is>
          <t>Strength + endurance is high total stress; carbs help reduce perceived effort and support lifting quality.</t>
        </is>
      </c>
    </row>
    <row r="6">
      <c r="A6" s="2" t="inlineStr">
        <is>
          <t>Weekly fat-loss target</t>
        </is>
      </c>
      <c r="B6" s="2" t="inlineStr">
        <is>
          <t>Aim ~0.25–0.5% bodyweight loss/week (0.2–0.4 kg). If more, performance &amp; sleep usually suffer.</t>
        </is>
      </c>
      <c r="C6" s="2" t="inlineStr">
        <is>
          <t>You’re already lean-ish (14–16%); aggressive deficits backfire. Slow is faster.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5"/>
    <col width="44" customWidth="1" min="6" max="6"/>
  </cols>
  <sheetData>
    <row r="1">
      <c r="A1" s="1" t="inlineStr">
        <is>
          <t>Supplement</t>
        </is>
      </c>
      <c r="B1" s="1" t="inlineStr">
        <is>
          <t>BUILD (Weeks 1–3,5–7,9)</t>
        </is>
      </c>
      <c r="C1" s="1" t="inlineStr">
        <is>
          <t>DELOAD (Weeks 4,8)</t>
        </is>
      </c>
      <c r="D1" s="1" t="inlineStr">
        <is>
          <t>SHARPEN (Week 10)</t>
        </is>
      </c>
      <c r="E1" s="1" t="inlineStr">
        <is>
          <t>TAPER/RACE (Week 11)</t>
        </is>
      </c>
      <c r="F1" s="1" t="inlineStr">
        <is>
          <t>Notes / nervous system</t>
        </is>
      </c>
    </row>
    <row r="2">
      <c r="A2" s="2" t="inlineStr">
        <is>
          <t>Creatine</t>
        </is>
      </c>
      <c r="B2" s="2" t="inlineStr">
        <is>
          <t>5g daily</t>
        </is>
      </c>
      <c r="C2" s="2" t="inlineStr">
        <is>
          <t>5g daily</t>
        </is>
      </c>
      <c r="D2" s="2" t="inlineStr">
        <is>
          <t>5g daily</t>
        </is>
      </c>
      <c r="E2" s="2" t="inlineStr">
        <is>
          <t>5g daily</t>
        </is>
      </c>
      <c r="F2" s="2" t="inlineStr">
        <is>
          <t>Consistent daily dosing; no cycling needed.</t>
        </is>
      </c>
    </row>
    <row r="3">
      <c r="A3" s="2" t="inlineStr">
        <is>
          <t>Omega-3 (EPA/DHA)</t>
        </is>
      </c>
      <c r="B3" s="2" t="inlineStr">
        <is>
          <t>2g daily</t>
        </is>
      </c>
      <c r="C3" s="2" t="inlineStr">
        <is>
          <t>2g daily</t>
        </is>
      </c>
      <c r="D3" s="2" t="inlineStr">
        <is>
          <t>2g daily</t>
        </is>
      </c>
      <c r="E3" s="2" t="inlineStr">
        <is>
          <t>2g daily</t>
        </is>
      </c>
      <c r="F3" s="2" t="inlineStr">
        <is>
          <t>Take with a meal; supports inflammation control.</t>
        </is>
      </c>
    </row>
    <row r="4">
      <c r="A4" s="2" t="inlineStr">
        <is>
          <t>Beta-alanine</t>
        </is>
      </c>
      <c r="B4" s="2" t="inlineStr">
        <is>
          <t>3.2g/day split doses</t>
        </is>
      </c>
      <c r="C4" s="2" t="inlineStr">
        <is>
          <t>1.6g/day optional</t>
        </is>
      </c>
      <c r="D4" s="2" t="inlineStr">
        <is>
          <t>3.2g/day</t>
        </is>
      </c>
      <c r="E4" s="2" t="inlineStr">
        <is>
          <t>Continue 3.2g/day</t>
        </is>
      </c>
      <c r="F4" s="2" t="inlineStr">
        <is>
          <t>If tingles annoying, split smaller doses.</t>
        </is>
      </c>
    </row>
    <row r="5">
      <c r="A5" s="2" t="inlineStr">
        <is>
          <t>Vitamin D3 (winter)</t>
        </is>
      </c>
      <c r="B5" s="2" t="inlineStr">
        <is>
          <t>2000 IU daily</t>
        </is>
      </c>
      <c r="C5" s="2" t="inlineStr">
        <is>
          <t>2000 IU</t>
        </is>
      </c>
      <c r="D5" s="2" t="inlineStr">
        <is>
          <t>2000 IU</t>
        </is>
      </c>
      <c r="E5" s="2" t="inlineStr">
        <is>
          <t>2000 IU</t>
        </is>
      </c>
      <c r="F5" s="2" t="inlineStr">
        <is>
          <t>Best guided by blood test; Norway winter makes deficiency common.</t>
        </is>
      </c>
    </row>
    <row r="6">
      <c r="A6" s="2" t="inlineStr">
        <is>
          <t>Caffeine</t>
        </is>
      </c>
      <c r="B6" s="2" t="inlineStr">
        <is>
          <t>Optional on hard/long only (100–200mg)</t>
        </is>
      </c>
      <c r="C6" s="2" t="inlineStr">
        <is>
          <t>Prefer OFF</t>
        </is>
      </c>
      <c r="D6" s="2" t="inlineStr">
        <is>
          <t>Optional 100mg</t>
        </is>
      </c>
      <c r="E6" s="2" t="inlineStr">
        <is>
          <t>Optional race only</t>
        </is>
      </c>
      <c r="F6" s="2" t="inlineStr">
        <is>
          <t>If sleep fragile, limit; pair with theanine.</t>
        </is>
      </c>
    </row>
    <row r="7">
      <c r="A7" s="2" t="inlineStr">
        <is>
          <t>Tongkat Ali (optional)</t>
        </is>
      </c>
      <c r="B7" s="2" t="inlineStr">
        <is>
          <t>5 days on / 2 off; weekdays only</t>
        </is>
      </c>
      <c r="C7" s="2" t="inlineStr">
        <is>
          <t>OFF</t>
        </is>
      </c>
      <c r="D7" s="2" t="inlineStr">
        <is>
          <t>OFF</t>
        </is>
      </c>
      <c r="E7" s="2" t="inlineStr">
        <is>
          <t>OFF</t>
        </is>
      </c>
      <c r="F7" s="2" t="inlineStr">
        <is>
          <t>If anxiety/irritability rises: stop. Talk to clinician if unsure.</t>
        </is>
      </c>
    </row>
    <row r="8">
      <c r="A8" s="2" t="inlineStr">
        <is>
          <t>Magnesium glycinate</t>
        </is>
      </c>
      <c r="B8" s="2" t="inlineStr">
        <is>
          <t>300–400mg nightly</t>
        </is>
      </c>
      <c r="C8" s="2" t="inlineStr">
        <is>
          <t>Same</t>
        </is>
      </c>
      <c r="D8" s="2" t="inlineStr">
        <is>
          <t>Same</t>
        </is>
      </c>
      <c r="E8" s="2" t="inlineStr">
        <is>
          <t>Same</t>
        </is>
      </c>
      <c r="F8" s="2" t="inlineStr">
        <is>
          <t>Sleep support. If GI upset: reduce dose.</t>
        </is>
      </c>
    </row>
    <row r="9">
      <c r="A9" s="2" t="inlineStr">
        <is>
          <t>Glycine</t>
        </is>
      </c>
      <c r="B9" s="2" t="inlineStr">
        <is>
          <t>3g nightly</t>
        </is>
      </c>
      <c r="C9" s="2" t="inlineStr">
        <is>
          <t>Same</t>
        </is>
      </c>
      <c r="D9" s="2" t="inlineStr">
        <is>
          <t>Same</t>
        </is>
      </c>
      <c r="E9" s="2" t="inlineStr">
        <is>
          <t>Same</t>
        </is>
      </c>
      <c r="F9" s="2" t="inlineStr">
        <is>
          <t>Sleep depth; safe for most.</t>
        </is>
      </c>
    </row>
    <row r="10">
      <c r="A10" s="2" t="inlineStr">
        <is>
          <t>Taurine</t>
        </is>
      </c>
      <c r="B10" s="2" t="inlineStr">
        <is>
          <t>1–2g nightly</t>
        </is>
      </c>
      <c r="C10" s="2" t="inlineStr">
        <is>
          <t>1–2g nightly</t>
        </is>
      </c>
      <c r="D10" s="2" t="inlineStr">
        <is>
          <t>1–2g nightly</t>
        </is>
      </c>
      <c r="E10" s="2" t="inlineStr">
        <is>
          <t>1–2g nightly</t>
        </is>
      </c>
      <c r="F10" s="2" t="inlineStr">
        <is>
          <t>Sleep downshift; can reduce sympathetic tone. Take 45–60 min pre-bed.</t>
        </is>
      </c>
    </row>
    <row r="11">
      <c r="A11" s="2" t="inlineStr">
        <is>
          <t>Inositol</t>
        </is>
      </c>
      <c r="B11" s="2" t="inlineStr">
        <is>
          <t>2g nightly</t>
        </is>
      </c>
      <c r="C11" s="2" t="inlineStr">
        <is>
          <t>2g nightly</t>
        </is>
      </c>
      <c r="D11" s="2" t="inlineStr">
        <is>
          <t>2g nightly</t>
        </is>
      </c>
      <c r="E11" s="2" t="inlineStr">
        <is>
          <t>2g nightly</t>
        </is>
      </c>
      <c r="F11" s="2" t="inlineStr">
        <is>
          <t>Supports calm/anxiety reduction + sleep onset. Take with PM stack; start low if GI sensitive.</t>
        </is>
      </c>
    </row>
    <row r="12">
      <c r="A12" s="2" t="inlineStr">
        <is>
          <t>L-theanine</t>
        </is>
      </c>
      <c r="B12" s="2" t="inlineStr">
        <is>
          <t>200mg nightly; optional with caffeine</t>
        </is>
      </c>
      <c r="C12" s="2" t="inlineStr">
        <is>
          <t>Same</t>
        </is>
      </c>
      <c r="D12" s="2" t="inlineStr">
        <is>
          <t>Same</t>
        </is>
      </c>
      <c r="E12" s="2" t="inlineStr">
        <is>
          <t>Same</t>
        </is>
      </c>
      <c r="F12" s="2" t="inlineStr">
        <is>
          <t>Use to downshift nervous 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45" customWidth="1" min="3" max="3"/>
    <col width="55" customWidth="1" min="4" max="4"/>
  </cols>
  <sheetData>
    <row r="1">
      <c r="A1" s="1" t="inlineStr">
        <is>
          <t>Context</t>
        </is>
      </c>
      <c r="B1" s="1" t="inlineStr">
        <is>
          <t>Timing</t>
        </is>
      </c>
      <c r="C1" s="1" t="inlineStr">
        <is>
          <t>What to Eat / Take</t>
        </is>
      </c>
      <c r="D1" s="1" t="inlineStr">
        <is>
          <t>Why (Performance / Sleep / CNS)</t>
        </is>
      </c>
    </row>
    <row r="2">
      <c r="A2" s="2" t="inlineStr">
        <is>
          <t>Early AM hard bike</t>
        </is>
      </c>
      <c r="B2" s="2" t="inlineStr">
        <is>
          <t>20–30 min before</t>
        </is>
      </c>
      <c r="C2" s="2" t="inlineStr">
        <is>
          <t>20–30 g fast carbs (banana, toast + honey, sports drink); coffee OK</t>
        </is>
      </c>
      <c r="D2" s="2" t="inlineStr">
        <is>
          <t>Raises blood glucose, lowers cortisol response, protects nervous system</t>
        </is>
      </c>
    </row>
    <row r="3">
      <c r="A3" s="2" t="inlineStr">
        <is>
          <t>During hard bike</t>
        </is>
      </c>
      <c r="B3" s="2" t="inlineStr">
        <is>
          <t>Every 15–20 min</t>
        </is>
      </c>
      <c r="C3" s="2" t="inlineStr">
        <is>
          <t>60–80 g carbs/hour + sodium</t>
        </is>
      </c>
      <c r="D3" s="2" t="inlineStr">
        <is>
          <t>Maximizes quality and adaptation; prevents late-day hunger</t>
        </is>
      </c>
    </row>
    <row r="4">
      <c r="A4" s="2" t="inlineStr">
        <is>
          <t>Post hard bike</t>
        </is>
      </c>
      <c r="B4" s="2" t="inlineStr">
        <is>
          <t>Within 60 min</t>
        </is>
      </c>
      <c r="C4" s="2" t="inlineStr">
        <is>
          <t>Breakfast: 35–45 g protein + 1–1.2 g/kg carbs</t>
        </is>
      </c>
      <c r="D4" s="2" t="inlineStr">
        <is>
          <t>Replenishes glycogen, shifts body out of stress state</t>
        </is>
      </c>
    </row>
    <row r="5">
      <c r="A5" s="2" t="inlineStr">
        <is>
          <t>Strength + run day</t>
        </is>
      </c>
      <c r="B5" s="2" t="inlineStr">
        <is>
          <t>Within 2 h post-session</t>
        </is>
      </c>
      <c r="C5" s="2" t="inlineStr">
        <is>
          <t>Balanced meal with carbs + protein</t>
        </is>
      </c>
      <c r="D5" s="2" t="inlineStr">
        <is>
          <t>Supports muscle protein synthesis and connective tissue recovery</t>
        </is>
      </c>
    </row>
    <row r="6">
      <c r="A6" s="2" t="inlineStr">
        <is>
          <t>Easy / Z2 day</t>
        </is>
      </c>
      <c r="B6" s="2" t="inlineStr">
        <is>
          <t>All day</t>
        </is>
      </c>
      <c r="C6" s="2" t="inlineStr">
        <is>
          <t>Moderate carbs, steady protein</t>
        </is>
      </c>
      <c r="D6" s="2" t="inlineStr">
        <is>
          <t>Allows slight deficit without impairing next hard session</t>
        </is>
      </c>
    </row>
    <row r="7">
      <c r="A7" s="2" t="inlineStr">
        <is>
          <t>Dinner (all days)</t>
        </is>
      </c>
      <c r="B7" s="2" t="inlineStr">
        <is>
          <t>2–3 h before bed</t>
        </is>
      </c>
      <c r="C7" s="2" t="inlineStr">
        <is>
          <t>Protein + carbs, moderate fat</t>
        </is>
      </c>
      <c r="D7" s="2" t="inlineStr">
        <is>
          <t>Supports serotonin/melatonin, avoids reflux</t>
        </is>
      </c>
    </row>
    <row r="8">
      <c r="A8" s="2" t="inlineStr">
        <is>
          <t>Last meal</t>
        </is>
      </c>
      <c r="B8" s="2" t="inlineStr">
        <is>
          <t>60–90 min before bed</t>
        </is>
      </c>
      <c r="C8" s="2" t="inlineStr">
        <is>
          <t>Protein-focused (skyr, casein, cottage cheese); magnesium + glycine + taurine + inositol (add theanine if wired)</t>
        </is>
      </c>
      <c r="D8" s="2" t="inlineStr">
        <is>
          <t>Improves sleep depth, limits overnight blood sugar dips</t>
        </is>
      </c>
    </row>
    <row r="9">
      <c r="A9" s="2" t="inlineStr">
        <is>
          <t>Fluids</t>
        </is>
      </c>
      <c r="B9" s="2" t="inlineStr">
        <is>
          <t>After 19:00</t>
        </is>
      </c>
      <c r="C9" s="2" t="inlineStr">
        <is>
          <t>Minimal sipping only</t>
        </is>
      </c>
      <c r="D9" s="2" t="inlineStr">
        <is>
          <t>Reduces night wakings / bathroom trips</t>
        </is>
      </c>
    </row>
    <row r="10">
      <c r="A10" s="2" t="inlineStr">
        <is>
          <t>Flexbeam / red light</t>
        </is>
      </c>
      <c r="B10" s="2" t="inlineStr">
        <is>
          <t>Evening, 1–2 h pre-bed</t>
        </is>
      </c>
      <c r="C10" s="2" t="inlineStr">
        <is>
          <t>10–15 min lower body</t>
        </is>
      </c>
      <c r="D10" s="2" t="inlineStr">
        <is>
          <t>Parasympathetic activation, tissue recovery</t>
        </is>
      </c>
    </row>
    <row r="11">
      <c r="A11" s="2" t="inlineStr">
        <is>
          <t>Breathwork / NSDR</t>
        </is>
      </c>
      <c r="B11" s="2" t="inlineStr">
        <is>
          <t>10–30 min before bed</t>
        </is>
      </c>
      <c r="C11" s="2" t="inlineStr">
        <is>
          <t>Box breathing / non-sleep deep rest</t>
        </is>
      </c>
      <c r="D11" s="2" t="inlineStr">
        <is>
          <t>Downshifts nervous system</t>
        </is>
      </c>
    </row>
    <row r="12">
      <c r="A12" s="2" t="inlineStr">
        <is>
          <t>3am wake (hunger or wired)</t>
        </is>
      </c>
      <c r="B12" s="2" t="inlineStr">
        <is>
          <t>30–60 min before bed (or if you wake)</t>
        </is>
      </c>
      <c r="C12" s="2" t="inlineStr">
        <is>
          <t>Add 10–20 g carbs to last meal (e.g., 1 kiwi + 1 tsp honey, or 2 rice cakes). Subtract same carbs from dinner to keep daily macros identical.</t>
        </is>
      </c>
      <c r="D12" s="2" t="inlineStr">
        <is>
          <t>Small carbs can reduce nocturnal hypoglycemia → cortisol/adrenaline spikes; keep it low volume to protect reflux.</t>
        </is>
      </c>
    </row>
    <row r="13">
      <c r="A13" s="2" t="inlineStr">
        <is>
          <t>Wake up hungry at night (practical)</t>
        </is>
      </c>
      <c r="B13" s="2" t="inlineStr">
        <is>
          <t>If you wake and can’t fall asleep within 10–15 min</t>
        </is>
      </c>
      <c r="C13" s="2" t="inlineStr">
        <is>
          <t>Option 1 (low fluid): 2 rice cakes + honey, or ½ banana, or 1 kiwi + 1 tsp honey (10–25 g carbs). Option 2 (protein+carb): 150–200 g skyr + 1 tsp honey. Keep lights low; no phone.</t>
        </is>
      </c>
      <c r="D13" s="2" t="inlineStr">
        <is>
          <t>Small carbs can blunt nocturnal cortisol/adrenaline. Low volume reduces reflux risk. Avoid large drinks to limit peeing.</t>
        </is>
      </c>
    </row>
    <row r="14">
      <c r="A14" s="2" t="inlineStr">
        <is>
          <t>Hard day but in evening calorie deficit</t>
        </is>
      </c>
      <c r="B14" s="2" t="inlineStr">
        <is>
          <t>2–3 h before bed (and last meal 60–90 min pre-bed)</t>
        </is>
      </c>
      <c r="C14" s="2" t="inlineStr">
        <is>
          <t>Don’t try to ‘stuff’ calories right before bed. Instead: 1) move more carbs to lunch/dinner earlier the next day; 2) use a small, dense snack: skyr/cottage cheese + honey, or cereal (small bowl), or oats/semolina pudding. If you need liquid: a THICK smoothie (minimal water) earlier in evening, not right at bedtime.</t>
        </is>
      </c>
      <c r="D14" s="2" t="inlineStr">
        <is>
          <t>Big late meals and lots of fluid increase reflux and nocturia. Better to protect sleep and ‘repay’ the deficit earlier next day rather than chugging calories at 21:00.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8" customWidth="1" min="1" max="8"/>
  </cols>
  <sheetData>
    <row r="1">
      <c r="A1" s="1" t="inlineStr">
        <is>
          <t>Week</t>
        </is>
      </c>
      <c r="B1" s="1" t="inlineStr">
        <is>
          <t>Bike minutes</t>
        </is>
      </c>
      <c r="C1" s="1" t="inlineStr">
        <is>
          <t>Run minutes</t>
        </is>
      </c>
      <c r="D1" s="1" t="inlineStr">
        <is>
          <t>Strength minutes</t>
        </is>
      </c>
      <c r="E1" s="1" t="inlineStr">
        <is>
          <t>Total minutes</t>
        </is>
      </c>
      <c r="F1" s="1" t="inlineStr">
        <is>
          <t>Bike Z2 (min)</t>
        </is>
      </c>
      <c r="G1" s="1" t="inlineStr">
        <is>
          <t>Bike SS (min)</t>
        </is>
      </c>
      <c r="H1" s="1" t="inlineStr">
        <is>
          <t>Bike Threshold+ (min)</t>
        </is>
      </c>
    </row>
    <row r="2">
      <c r="A2" t="n">
        <v>1</v>
      </c>
      <c r="B2" t="n">
        <v>334</v>
      </c>
      <c r="C2" t="n">
        <v>120</v>
      </c>
      <c r="D2" t="n">
        <v>200</v>
      </c>
      <c r="E2" t="n">
        <v>654</v>
      </c>
      <c r="F2" t="n">
        <v>334</v>
      </c>
      <c r="G2" t="n">
        <v>0</v>
      </c>
      <c r="H2" t="n">
        <v>0</v>
      </c>
    </row>
    <row r="3">
      <c r="A3" t="n">
        <v>2</v>
      </c>
      <c r="B3" t="n">
        <v>373</v>
      </c>
      <c r="C3" t="n">
        <v>125</v>
      </c>
      <c r="D3" t="n">
        <v>200</v>
      </c>
      <c r="E3" t="n">
        <v>698</v>
      </c>
      <c r="F3" t="n">
        <v>373</v>
      </c>
      <c r="G3" t="n">
        <v>0</v>
      </c>
      <c r="H3" t="n">
        <v>0</v>
      </c>
    </row>
    <row r="4">
      <c r="A4" t="n">
        <v>3</v>
      </c>
      <c r="B4" t="n">
        <v>400</v>
      </c>
      <c r="C4" t="n">
        <v>135</v>
      </c>
      <c r="D4" t="n">
        <v>200</v>
      </c>
      <c r="E4" t="n">
        <v>735</v>
      </c>
      <c r="F4" t="n">
        <v>240</v>
      </c>
      <c r="G4" t="n">
        <v>80</v>
      </c>
      <c r="H4" t="n">
        <v>80</v>
      </c>
    </row>
    <row r="5">
      <c r="A5" t="n">
        <v>4</v>
      </c>
      <c r="B5" t="n">
        <v>295</v>
      </c>
      <c r="C5" t="n">
        <v>97</v>
      </c>
      <c r="D5" t="n">
        <v>150</v>
      </c>
      <c r="E5" t="n">
        <v>542</v>
      </c>
      <c r="F5" t="n">
        <v>295</v>
      </c>
      <c r="G5" t="n">
        <v>0</v>
      </c>
      <c r="H5" t="n">
        <v>0</v>
      </c>
    </row>
    <row r="6">
      <c r="A6" t="n">
        <v>5</v>
      </c>
      <c r="B6" t="n">
        <v>397</v>
      </c>
      <c r="C6" t="n">
        <v>140</v>
      </c>
      <c r="D6" t="n">
        <v>200</v>
      </c>
      <c r="E6" t="n">
        <v>737</v>
      </c>
      <c r="F6" t="n">
        <v>330</v>
      </c>
      <c r="G6" t="n">
        <v>0</v>
      </c>
      <c r="H6" t="n">
        <v>67</v>
      </c>
    </row>
    <row r="7">
      <c r="A7" t="n">
        <v>6</v>
      </c>
      <c r="B7" t="n">
        <v>436</v>
      </c>
      <c r="C7" t="n">
        <v>145</v>
      </c>
      <c r="D7" t="n">
        <v>200</v>
      </c>
      <c r="E7" t="n">
        <v>781</v>
      </c>
      <c r="F7" t="n">
        <v>365</v>
      </c>
      <c r="G7" t="n">
        <v>0</v>
      </c>
      <c r="H7" t="n">
        <v>71</v>
      </c>
    </row>
    <row r="8">
      <c r="A8" t="n">
        <v>7</v>
      </c>
      <c r="B8" t="n">
        <v>473</v>
      </c>
      <c r="C8" t="n">
        <v>150</v>
      </c>
      <c r="D8" t="n">
        <v>200</v>
      </c>
      <c r="E8" t="n">
        <v>823</v>
      </c>
      <c r="F8" t="n">
        <v>473</v>
      </c>
      <c r="G8" t="n">
        <v>0</v>
      </c>
      <c r="H8" t="n">
        <v>0</v>
      </c>
    </row>
    <row r="9">
      <c r="A9" t="n">
        <v>8</v>
      </c>
      <c r="B9" t="n">
        <v>325</v>
      </c>
      <c r="C9" t="n">
        <v>97</v>
      </c>
      <c r="D9" t="n">
        <v>150</v>
      </c>
      <c r="E9" t="n">
        <v>572</v>
      </c>
      <c r="F9" t="n">
        <v>325</v>
      </c>
      <c r="G9" t="n">
        <v>0</v>
      </c>
      <c r="H9" t="n">
        <v>0</v>
      </c>
    </row>
    <row r="10">
      <c r="A10" t="n">
        <v>9</v>
      </c>
      <c r="B10" t="n">
        <v>439</v>
      </c>
      <c r="C10" t="n">
        <v>145</v>
      </c>
      <c r="D10" t="n">
        <v>200</v>
      </c>
      <c r="E10" t="n">
        <v>784</v>
      </c>
      <c r="F10" t="n">
        <v>439</v>
      </c>
      <c r="G10" t="n">
        <v>0</v>
      </c>
      <c r="H10" t="n">
        <v>0</v>
      </c>
    </row>
    <row r="11">
      <c r="A11" t="n">
        <v>10</v>
      </c>
      <c r="B11" t="n">
        <v>330</v>
      </c>
      <c r="C11" t="n">
        <v>120</v>
      </c>
      <c r="D11" t="n">
        <v>185</v>
      </c>
      <c r="E11" t="n">
        <v>635</v>
      </c>
      <c r="F11" t="n">
        <v>275</v>
      </c>
      <c r="G11" t="n">
        <v>0</v>
      </c>
      <c r="H11" t="n">
        <v>55</v>
      </c>
    </row>
    <row r="12">
      <c r="A12" t="n">
        <v>11</v>
      </c>
      <c r="B12" t="n">
        <v>55</v>
      </c>
      <c r="C12" t="n">
        <v>69</v>
      </c>
      <c r="D12" t="n">
        <v>185</v>
      </c>
      <c r="E12" t="n">
        <v>309</v>
      </c>
      <c r="F12" t="n">
        <v>55</v>
      </c>
      <c r="G12" t="n">
        <v>0</v>
      </c>
      <c r="H1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2026-01-31T06:49:23Z</dcterms:created>
  <dcterms:modified xmlns:dcterms="http://purl.org/dc/terms/" xmlns:xsi="http://www.w3.org/2001/XMLSchema-instance" xsi:type="dcterms:W3CDTF">2026-03-18T05:33:15Z</dcterms:modified>
  <cp:lastModifiedBy>Erik Sagstad</cp:lastModifiedBy>
</cp:coreProperties>
</file>